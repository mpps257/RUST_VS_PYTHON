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hxonline-my.sharepoint.com/personal/pranavphanindrasai_manepalli_zelis_com/Documents/Documents/Tasks/RUST_VS_PYTHON/BENCHMARKING/"/>
    </mc:Choice>
  </mc:AlternateContent>
  <xr:revisionPtr revIDLastSave="30" documentId="13_ncr:1_{55216E2E-E90A-4727-A0C7-49B79FCBCCF0}" xr6:coauthVersionLast="47" xr6:coauthVersionMax="47" xr10:uidLastSave="{261A21E9-0E0D-467B-9A09-DB6F2C1B5D7A}"/>
  <bookViews>
    <workbookView xWindow="-110" yWindow="-110" windowWidth="19420" windowHeight="12220" firstSheet="5" activeTab="5" xr2:uid="{00000000-000D-0000-FFFF-FFFF00000000}"/>
  </bookViews>
  <sheets>
    <sheet name="Warmup Read &amp; Create" sheetId="1" r:id="rId1"/>
    <sheet name="Create" sheetId="3" r:id="rId2"/>
    <sheet name="Read&amp;Readfirst" sheetId="2" r:id="rId3"/>
    <sheet name="Update" sheetId="4" r:id="rId4"/>
    <sheet name="Delete" sheetId="5" r:id="rId5"/>
    <sheet name="Mean Latency Comparison" sheetId="6" r:id="rId6"/>
    <sheet name="p95p99 Tail Latency" sheetId="7" r:id="rId7"/>
    <sheet name="Throughput comparison" sheetId="8" r:id="rId8"/>
    <sheet name="ReadDelete Latency Distribution" sheetId="10" r:id="rId9"/>
    <sheet name="Memory Usage" sheetId="11" r:id="rId10"/>
  </sheets>
  <definedNames>
    <definedName name="_xlchart.v1.0" hidden="1">'ReadDelete Latency Distribution'!$H$2</definedName>
    <definedName name="_xlchart.v1.1" hidden="1">'ReadDelete Latency Distribution'!$H$3:$H$202</definedName>
    <definedName name="_xlchart.v1.2" hidden="1">'ReadDelete Latency Distribution'!$I$2</definedName>
    <definedName name="_xlchart.v1.3" hidden="1">'ReadDelete Latency Distribution'!$I$3:$I$202</definedName>
    <definedName name="_xlchart.v1.4" hidden="1">'ReadDelete Latency Distribution'!$B$2</definedName>
    <definedName name="_xlchart.v1.5" hidden="1">'ReadDelete Latency Distribution'!$B$3:$B$52</definedName>
    <definedName name="_xlchart.v1.6" hidden="1">'ReadDelete Latency Distribution'!$C$2</definedName>
    <definedName name="_xlchart.v1.7" hidden="1">'ReadDelete Latency Distribution'!$C$3:$C$52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2" i="6"/>
  <c r="G4" i="5" l="1"/>
  <c r="G3" i="5"/>
  <c r="G4" i="4"/>
  <c r="G3" i="4"/>
  <c r="G10" i="2"/>
  <c r="G9" i="2"/>
  <c r="G5" i="2"/>
  <c r="G4" i="2"/>
  <c r="G5" i="3"/>
  <c r="G4" i="3"/>
  <c r="H5" i="1"/>
  <c r="H4" i="1"/>
</calcChain>
</file>

<file path=xl/sharedStrings.xml><?xml version="1.0" encoding="utf-8"?>
<sst xmlns="http://schemas.openxmlformats.org/spreadsheetml/2006/main" count="86" uniqueCount="20">
  <si>
    <t xml:space="preserve">Warmup Latency </t>
  </si>
  <si>
    <t>Create</t>
  </si>
  <si>
    <t>Read</t>
  </si>
  <si>
    <t>RUST</t>
  </si>
  <si>
    <t>Python</t>
  </si>
  <si>
    <t>Avg</t>
  </si>
  <si>
    <t>Min</t>
  </si>
  <si>
    <t>Max</t>
  </si>
  <si>
    <t>Memory</t>
  </si>
  <si>
    <t>Read Single</t>
  </si>
  <si>
    <t>Update</t>
  </si>
  <si>
    <t>Operation</t>
  </si>
  <si>
    <t>PYTHON</t>
  </si>
  <si>
    <t>CREATE</t>
  </si>
  <si>
    <t>READ</t>
  </si>
  <si>
    <t>UPDATE</t>
  </si>
  <si>
    <t>DELETE</t>
  </si>
  <si>
    <t>Rust</t>
  </si>
  <si>
    <t>Delete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</si>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</sst>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Warmup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'Warmup Read &amp; Create'!$A$4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'Warmup Read &amp; Create'!$B$2:$H$3</c:f>
              <c:multiLvlStrCache>
                <c:ptCount val="7"/>
                <c:lvl>
                  <c:pt idx="0">
                    <c:v>Avg</c:v>
                  </c:pt>
                  <c:pt idx="1">
                    <c:v>Min</c:v>
                  </c:pt>
                  <c:pt idx="2">
                    <c:v>Max</c:v>
                  </c:pt>
                  <c:pt idx="3">
                    <c:v>Avg</c:v>
                  </c:pt>
                  <c:pt idx="4">
                    <c:v>Min</c:v>
                  </c:pt>
                  <c:pt idx="5">
                    <c:v>Max</c:v>
                  </c:pt>
                </c:lvl>
                <c:lvl>
                  <c:pt idx="0">
                    <c:v>Create</c:v>
                  </c:pt>
                  <c:pt idx="3">
                    <c:v>Read</c:v>
                  </c:pt>
                  <c:pt idx="6">
                    <c:v>Memory</c:v>
                  </c:pt>
                </c:lvl>
              </c:multiLvlStrCache>
            </c:multiLvlStrRef>
          </c:cat>
          <c:val>
            <c:numRef>
              <c:f>'Warmup Read &amp; Create'!$B$4:$H$4</c:f>
              <c:numCache>
                <c:formatCode>General</c:formatCode>
                <c:ptCount val="7"/>
                <c:pt idx="0">
                  <c:v>6.4984600000000015</c:v>
                </c:pt>
                <c:pt idx="1">
                  <c:v>2.0409999999999999</c:v>
                </c:pt>
                <c:pt idx="2">
                  <c:v>21.515999999999998</c:v>
                </c:pt>
                <c:pt idx="3">
                  <c:v>12.946540000000001</c:v>
                </c:pt>
                <c:pt idx="4">
                  <c:v>5.48</c:v>
                </c:pt>
                <c:pt idx="5">
                  <c:v>30.452999999999999</c:v>
                </c:pt>
                <c:pt idx="6">
                  <c:v>72.3125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B-457B-9A16-1975E62DF034}"/>
            </c:ext>
          </c:extLst>
        </c:ser>
        <c:ser>
          <c:idx val="1"/>
          <c:order val="1"/>
          <c:tx>
            <c:strRef>
              <c:f>'Warmup Read &amp; Create'!$A$5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'Warmup Read &amp; Create'!$B$2:$H$3</c:f>
              <c:multiLvlStrCache>
                <c:ptCount val="7"/>
                <c:lvl>
                  <c:pt idx="0">
                    <c:v>Avg</c:v>
                  </c:pt>
                  <c:pt idx="1">
                    <c:v>Min</c:v>
                  </c:pt>
                  <c:pt idx="2">
                    <c:v>Max</c:v>
                  </c:pt>
                  <c:pt idx="3">
                    <c:v>Avg</c:v>
                  </c:pt>
                  <c:pt idx="4">
                    <c:v>Min</c:v>
                  </c:pt>
                  <c:pt idx="5">
                    <c:v>Max</c:v>
                  </c:pt>
                </c:lvl>
                <c:lvl>
                  <c:pt idx="0">
                    <c:v>Create</c:v>
                  </c:pt>
                  <c:pt idx="3">
                    <c:v>Read</c:v>
                  </c:pt>
                  <c:pt idx="6">
                    <c:v>Memory</c:v>
                  </c:pt>
                </c:lvl>
              </c:multiLvlStrCache>
            </c:multiLvlStrRef>
          </c:cat>
          <c:val>
            <c:numRef>
              <c:f>'Warmup Read &amp; Create'!$B$5:$H$5</c:f>
              <c:numCache>
                <c:formatCode>General</c:formatCode>
                <c:ptCount val="7"/>
                <c:pt idx="0">
                  <c:v>3.0011999999999994</c:v>
                </c:pt>
                <c:pt idx="1">
                  <c:v>1.133</c:v>
                </c:pt>
                <c:pt idx="2">
                  <c:v>15.334</c:v>
                </c:pt>
                <c:pt idx="3">
                  <c:v>363.44644</c:v>
                </c:pt>
                <c:pt idx="4">
                  <c:v>202.01</c:v>
                </c:pt>
                <c:pt idx="5">
                  <c:v>681.53099999999995</c:v>
                </c:pt>
                <c:pt idx="6">
                  <c:v>13.984375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B-457B-9A16-1975E62DF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8761247"/>
        <c:axId val="1338763647"/>
        <c:axId val="0"/>
      </c:bar3DChart>
      <c:catAx>
        <c:axId val="133876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63647"/>
        <c:crosses val="autoZero"/>
        <c:auto val="1"/>
        <c:lblAlgn val="ctr"/>
        <c:lblOffset val="100"/>
        <c:noMultiLvlLbl val="0"/>
      </c:catAx>
      <c:valAx>
        <c:axId val="133876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6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'Mean Latency Comparison'!$B$1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'Mean Latency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'Mean Latency Comparison'!$B$2:$B$5</c:f>
              <c:numCache>
                <c:formatCode>General</c:formatCode>
                <c:ptCount val="4"/>
                <c:pt idx="0">
                  <c:v>13.962524999999994</c:v>
                </c:pt>
                <c:pt idx="1">
                  <c:v>25.587725000000006</c:v>
                </c:pt>
                <c:pt idx="2">
                  <c:v>8.2296499999999977</c:v>
                </c:pt>
                <c:pt idx="3">
                  <c:v>10.504720000000004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E-4AE8-8669-0038392C281F}"/>
            </c:ext>
          </c:extLst>
        </c:ser>
        <c:ser>
          <c:idx val="1"/>
          <c:order val="1"/>
          <c:tx>
            <c:strRef>
              <c:f>'Mean Latency Comparison'!$C$1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'Mean Latency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'Mean Latency Comparison'!$C$2:$C$5</c:f>
              <c:numCache>
                <c:formatCode>General</c:formatCode>
                <c:ptCount val="4"/>
                <c:pt idx="0">
                  <c:v>6.2509999999999959</c:v>
                </c:pt>
                <c:pt idx="1">
                  <c:v>0.5</c:v>
                </c:pt>
                <c:pt idx="2">
                  <c:v>2.9024100000000006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E-4AE8-8669-0038392C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4125039"/>
        <c:axId val="1434110639"/>
        <c:axId val="1439437519"/>
      </c:bar3DChart>
      <c:catAx>
        <c:axId val="143412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10639"/>
        <c:crosses val="autoZero"/>
        <c:auto val="1"/>
        <c:lblAlgn val="ctr"/>
        <c:lblOffset val="100"/>
        <c:noMultiLvlLbl val="0"/>
      </c:catAx>
      <c:valAx>
        <c:axId val="14341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25039"/>
        <c:crosses val="autoZero"/>
        <c:crossBetween val="between"/>
      </c:valAx>
      <c:serAx>
        <c:axId val="14394375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1063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'Mean Latency Comparison'!$B$1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'Mean Latency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'Mean Latency Comparison'!$B$2:$B$5</c:f>
              <c:numCache>
                <c:formatCode>General</c:formatCode>
                <c:ptCount val="4"/>
                <c:pt idx="0">
                  <c:v>13.962524999999994</c:v>
                </c:pt>
                <c:pt idx="1">
                  <c:v>25.587725000000006</c:v>
                </c:pt>
                <c:pt idx="2">
                  <c:v>8.2296499999999977</c:v>
                </c:pt>
                <c:pt idx="3">
                  <c:v>10.504720000000004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D-43D6-9564-94F814093BB1}"/>
            </c:ext>
          </c:extLst>
        </c:ser>
        <c:ser>
          <c:idx val="1"/>
          <c:order val="1"/>
          <c:tx>
            <c:strRef>
              <c:f>'Mean Latency Comparison'!$C$1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'Mean Latency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'Mean Latency Comparison'!$C$2:$C$5</c:f>
              <c:numCache>
                <c:formatCode>General</c:formatCode>
                <c:ptCount val="4"/>
                <c:pt idx="0">
                  <c:v>6.2509999999999959</c:v>
                </c:pt>
                <c:pt idx="1">
                  <c:v>0.5</c:v>
                </c:pt>
                <c:pt idx="2">
                  <c:v>2.9024100000000006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D-43D6-9564-94F814093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8274735"/>
        <c:axId val="1058275695"/>
        <c:axId val="0"/>
      </c:bar3DChart>
      <c:catAx>
        <c:axId val="105827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75695"/>
        <c:crosses val="autoZero"/>
        <c:auto val="1"/>
        <c:lblAlgn val="ctr"/>
        <c:lblOffset val="100"/>
        <c:noMultiLvlLbl val="0"/>
      </c:catAx>
      <c:valAx>
        <c:axId val="105827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7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Latency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'Mean Latency Comparison'!$B$1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'Mean Latency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'Mean Latency Comparison'!$B$2:$B$5</c:f>
              <c:numCache>
                <c:formatCode>General</c:formatCode>
                <c:ptCount val="4"/>
                <c:pt idx="0">
                  <c:v>13.962524999999994</c:v>
                </c:pt>
                <c:pt idx="1">
                  <c:v>25.587725000000006</c:v>
                </c:pt>
                <c:pt idx="2">
                  <c:v>8.2296499999999977</c:v>
                </c:pt>
                <c:pt idx="3">
                  <c:v>10.504720000000004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E-4E0A-A119-CE419AECCF9D}"/>
            </c:ext>
          </c:extLst>
        </c:ser>
        <c:ser>
          <c:idx val="1"/>
          <c:order val="1"/>
          <c:tx>
            <c:strRef>
              <c:f>'Mean Latency Comparison'!$C$1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'Mean Latency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'Mean Latency Comparison'!$C$2:$C$5</c:f>
              <c:numCache>
                <c:formatCode>General</c:formatCode>
                <c:ptCount val="4"/>
                <c:pt idx="0">
                  <c:v>6.2509999999999959</c:v>
                </c:pt>
                <c:pt idx="1">
                  <c:v>0.5</c:v>
                </c:pt>
                <c:pt idx="2">
                  <c:v>2.9024100000000006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E-4E0A-A119-CE419AECC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871455"/>
        <c:axId val="1518866175"/>
      </c:barChart>
      <c:catAx>
        <c:axId val="1518871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Endpoint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66175"/>
        <c:crosses val="autoZero"/>
        <c:auto val="1"/>
        <c:lblAlgn val="ctr"/>
        <c:lblOffset val="100"/>
        <c:noMultiLvlLbl val="0"/>
      </c:catAx>
      <c:valAx>
        <c:axId val="151886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in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7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p95</a:t>
            </a:r>
            <a:r>
              <a:rPr lang="en-US" baseline="0"/>
              <a:t> Latency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'p95p99 Tail Latency'!$B$1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'p95p99 Tail Latency'!$A$2:$A$5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'p95p99 Tail Latency'!$B$2:$B$5</c:f>
              <c:numCache>
                <c:formatCode>General</c:formatCode>
                <c:ptCount val="4"/>
                <c:pt idx="0">
                  <c:v>18.79</c:v>
                </c:pt>
                <c:pt idx="1">
                  <c:v>42.85</c:v>
                </c:pt>
                <c:pt idx="2">
                  <c:v>25.84</c:v>
                </c:pt>
                <c:pt idx="3">
                  <c:v>26.85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2-467F-86C0-56810A55BDD5}"/>
            </c:ext>
          </c:extLst>
        </c:ser>
        <c:ser>
          <c:idx val="1"/>
          <c:order val="1"/>
          <c:tx>
            <c:strRef>
              <c:f>'p95p99 Tail Latency'!$C$1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'p95p99 Tail Latency'!$A$2:$A$5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'p95p99 Tail Latency'!$C$2:$C$5</c:f>
              <c:numCache>
                <c:formatCode>General</c:formatCode>
                <c:ptCount val="4"/>
                <c:pt idx="0">
                  <c:v>9.83</c:v>
                </c:pt>
                <c:pt idx="1">
                  <c:v>35.5</c:v>
                </c:pt>
                <c:pt idx="2">
                  <c:v>4.68</c:v>
                </c:pt>
                <c:pt idx="3">
                  <c:v>15.19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2-467F-86C0-56810A55B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863295"/>
        <c:axId val="1518869535"/>
      </c:barChart>
      <c:catAx>
        <c:axId val="1518863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CRUD</a:t>
                </a:r>
                <a:r>
                  <a:rPr lang="en-US" baseline="0"/>
                  <a:t> Operations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69535"/>
        <c:crosses val="autoZero"/>
        <c:auto val="1"/>
        <c:lblAlgn val="ctr"/>
        <c:lblOffset val="100"/>
        <c:noMultiLvlLbl val="0"/>
      </c:catAx>
      <c:valAx>
        <c:axId val="15188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6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'Throughput comparison'!$B$1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'Throughput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'Throughput comparison'!$B$2:$B$5</c:f>
              <c:numCache>
                <c:formatCode>General</c:formatCode>
                <c:ptCount val="4"/>
                <c:pt idx="0">
                  <c:v>733.53</c:v>
                </c:pt>
                <c:pt idx="1">
                  <c:v>380.06</c:v>
                </c:pt>
                <c:pt idx="2">
                  <c:v>587.39</c:v>
                </c:pt>
                <c:pt idx="3">
                  <c:v>453.7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5-4EB8-A044-6692E770A068}"/>
            </c:ext>
          </c:extLst>
        </c:ser>
        <c:ser>
          <c:idx val="1"/>
          <c:order val="1"/>
          <c:tx>
            <c:strRef>
              <c:f>'Throughput comparison'!$C$1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'Throughput comparison'!$A$2:$A$5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'Throughput comparison'!$C$2:$C$5</c:f>
              <c:numCache>
                <c:formatCode>General</c:formatCode>
                <c:ptCount val="4"/>
                <c:pt idx="0">
                  <c:v>1497.24</c:v>
                </c:pt>
                <c:pt idx="1">
                  <c:v>1575.5</c:v>
                </c:pt>
                <c:pt idx="2">
                  <c:v>1655.54</c:v>
                </c:pt>
                <c:pt idx="3">
                  <c:v>1490.5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5-4EB8-A044-6692E770A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171247"/>
        <c:axId val="1062172207"/>
      </c:barChart>
      <c:catAx>
        <c:axId val="106217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CRUD</a:t>
                </a:r>
                <a:r>
                  <a:rPr lang="en-US" baseline="0"/>
                  <a:t> Operations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72207"/>
        <c:crosses val="autoZero"/>
        <c:auto val="1"/>
        <c:lblAlgn val="ctr"/>
        <c:lblOffset val="100"/>
        <c:noMultiLvlLbl val="0"/>
      </c:catAx>
      <c:valAx>
        <c:axId val="106217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Requests 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7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'Memory Usage'!$B$1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'Memory Usage'!$A$2:$A$5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'Memory Usage'!$B$2:$B$5</c:f>
              <c:numCache>
                <c:formatCode>General</c:formatCode>
                <c:ptCount val="4"/>
                <c:pt idx="0">
                  <c:v>72.390625</c:v>
                </c:pt>
                <c:pt idx="1">
                  <c:v>72.390625</c:v>
                </c:pt>
                <c:pt idx="2">
                  <c:v>72.390625</c:v>
                </c:pt>
                <c:pt idx="3">
                  <c:v>72.390625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A-4CD0-9032-A2D497B7B722}"/>
            </c:ext>
          </c:extLst>
        </c:ser>
        <c:ser>
          <c:idx val="1"/>
          <c:order val="1"/>
          <c:tx>
            <c:strRef>
              <c:f>'Memory Usage'!$C$1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'Memory Usage'!$A$2:$A$5</c:f>
              <c:strCache>
                <c:ptCount val="4"/>
                <c:pt idx="0">
                  <c:v>CREATE</c:v>
                </c:pt>
                <c:pt idx="1">
                  <c:v>READ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f>'Memory Usage'!$C$2:$C$5</c:f>
              <c:numCache>
                <c:formatCode>General</c:formatCode>
                <c:ptCount val="4"/>
                <c:pt idx="0">
                  <c:v>13.94921875</c:v>
                </c:pt>
                <c:pt idx="1">
                  <c:v>13.96484375</c:v>
                </c:pt>
                <c:pt idx="2">
                  <c:v>13.99609375</c:v>
                </c:pt>
                <c:pt idx="3">
                  <c:v>13.96484375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A-4CD0-9032-A2D497B7B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247"/>
        <c:axId val="1190041727"/>
      </c:barChart>
      <c:catAx>
        <c:axId val="119004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CRUD</a:t>
                </a:r>
                <a:r>
                  <a:rPr lang="en-US" baseline="0"/>
                  <a:t> Ops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041727"/>
        <c:crosses val="autoZero"/>
        <c:auto val="1"/>
        <c:lblAlgn val="ctr"/>
        <c:lblOffset val="100"/>
        <c:noMultiLvlLbl val="0"/>
      </c:catAx>
      <c:valAx>
        <c:axId val="119004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04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Delete Latency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Delete Latency Distribution</a:t>
          </a:r>
        </a:p>
      </cx:txPr>
    </cx:title>
    <cx:plotArea>
      <cx:plotAreaRegion>
        <cx:series layoutId="boxWhisker" uniqueId="{68B93942-32FD-4E62-9DFA-E4D39686A66E}">
          <cx:tx>
            <cx:txData>
              <cx:f>_xlchart.v1.4</cx:f>
              <cx:v>Rust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F4A19535-9407-4E46-BD32-6B9BECD11ACF}">
          <cx:tx>
            <cx:txData>
              <cx:f>_xlchart.v1.6</cx:f>
              <cx:v>Python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Read Latency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Read Latency Distribution</a:t>
          </a:r>
        </a:p>
      </cx:txPr>
    </cx:title>
    <cx:plotArea>
      <cx:plotAreaRegion>
        <cx:series layoutId="boxWhisker" uniqueId="{082731B0-1AC2-48D7-8343-7EBEA7C0B316}">
          <cx:tx>
            <cx:txData>
              <cx:f>_xlchart.v1.0</cx:f>
              <cx:v>Rust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D49C2C74-D48F-4E1D-9067-D2AA5E73FE1A}">
          <cx:tx>
            <cx:txData>
              <cx:f>_xlchart.v1.2</cx:f>
              <cx:v>Python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531812</xdr:colOff>
      <xdr:row>10</xdr:row>
      <xdr:rowOff>9525</xdr:rowOff>
    </xdr:from>
    <xdr:to>
      <xdr:col>17</xdr:col>
      <xdr:colOff>114300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1CBC39-C8DD-D812-941F-252C27558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514350</xdr:colOff>
      <xdr:row>1</xdr:row>
      <xdr:rowOff>9525</xdr:rowOff>
    </xdr:from>
    <xdr:to>
      <xdr:col>21</xdr:col>
      <xdr:colOff>209550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0AF990-B505-0764-D107-0E03499A2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</xdr:row>
      <xdr:rowOff>19050</xdr:rowOff>
    </xdr:from>
    <xdr:to>
      <xdr:col>13</xdr:col>
      <xdr:colOff>323850</xdr:colOff>
      <xdr:row>16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DD3D16-C394-B972-A0A0-9B4A8548B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354011</xdr:colOff>
      <xdr:row>17</xdr:row>
      <xdr:rowOff>133349</xdr:rowOff>
    </xdr:from>
    <xdr:to>
      <xdr:col>15</xdr:col>
      <xdr:colOff>257174</xdr:colOff>
      <xdr:row>35</xdr:row>
      <xdr:rowOff>50799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1B3A8B-4177-558F-E972-D34755FCD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220662</xdr:colOff>
      <xdr:row>1</xdr:row>
      <xdr:rowOff>171450</xdr:rowOff>
    </xdr:from>
    <xdr:to>
      <xdr:col>12</xdr:col>
      <xdr:colOff>525462</xdr:colOff>
      <xdr:row>17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6225D-574C-A81C-B4B9-F16DF400F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354012</xdr:colOff>
      <xdr:row>5</xdr:row>
      <xdr:rowOff>142874</xdr:rowOff>
    </xdr:from>
    <xdr:to>
      <xdr:col>13</xdr:col>
      <xdr:colOff>457200</xdr:colOff>
      <xdr:row>23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52A58-B8FC-47DA-8CEA-75C4FED8A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588962</xdr:colOff>
      <xdr:row>2</xdr:row>
      <xdr:rowOff>158750</xdr:rowOff>
    </xdr:from>
    <xdr:to>
      <xdr:col>19</xdr:col>
      <xdr:colOff>463550</xdr:colOff>
      <xdr:row>23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9DB553-BB49-EEA3-371C-08279A0DE0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5362" y="527050"/>
              <a:ext cx="5970588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608011</xdr:colOff>
      <xdr:row>24</xdr:row>
      <xdr:rowOff>120650</xdr:rowOff>
    </xdr:from>
    <xdr:to>
      <xdr:col>19</xdr:col>
      <xdr:colOff>504824</xdr:colOff>
      <xdr:row>43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D9A97BB-6F31-87BB-9295-E822DD5BA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4411" y="4540250"/>
              <a:ext cx="5992813" cy="345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325436</xdr:colOff>
      <xdr:row>1</xdr:row>
      <xdr:rowOff>161925</xdr:rowOff>
    </xdr:from>
    <xdr:to>
      <xdr:col>13</xdr:col>
      <xdr:colOff>114299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1253B-243E-4E88-4F07-9938AA744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83" workbookViewId="0">
      <selection activeCell="T12" sqref="T12"/>
    </sheetView>
  </sheetViews>
  <sheetFormatPr defaultRowHeight="14.5" x14ac:dyDescent="0.35"/>
  <cols>
    <col min="1" max="1" width="15.54296875" bestFit="1" customWidth="1"/>
  </cols>
  <sheetData>
    <row r="1" spans="1:8" x14ac:dyDescent="0.35">
      <c r="A1" t="s">
        <v>0</v>
      </c>
    </row>
    <row r="2" spans="1:8" x14ac:dyDescent="0.35">
      <c r="A2" s="2"/>
      <c r="B2" s="4" t="s">
        <v>1</v>
      </c>
      <c r="C2" s="4"/>
      <c r="D2" s="4"/>
      <c r="E2" s="4" t="s">
        <v>2</v>
      </c>
      <c r="F2" s="4"/>
      <c r="G2" s="4"/>
      <c r="H2" s="2" t="s">
        <v>8</v>
      </c>
    </row>
    <row r="3" spans="1:8" x14ac:dyDescent="0.35">
      <c r="A3" s="2"/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</row>
    <row r="4" spans="1:8" x14ac:dyDescent="0.35">
      <c r="A4" s="2" t="s">
        <v>4</v>
      </c>
      <c r="B4" s="2">
        <v>6.4984600000000015</v>
      </c>
      <c r="C4" s="2">
        <v>2.0409999999999999</v>
      </c>
      <c r="D4" s="2">
        <v>21.515999999999998</v>
      </c>
      <c r="E4" s="2">
        <v>12.946540000000001</v>
      </c>
      <c r="F4" s="2">
        <v>5.48</v>
      </c>
      <c r="G4" s="2">
        <v>30.452999999999999</v>
      </c>
      <c r="H4" s="2">
        <f>75825152/(1024*1024)</f>
        <v>72.3125</v>
      </c>
    </row>
    <row r="5" spans="1:8" x14ac:dyDescent="0.35">
      <c r="A5" s="2" t="s">
        <v>3</v>
      </c>
      <c r="B5" s="2">
        <v>3.0011999999999994</v>
      </c>
      <c r="C5" s="2">
        <v>1.133</v>
      </c>
      <c r="D5" s="2">
        <v>15.334</v>
      </c>
      <c r="E5" s="2">
        <v>363.44644</v>
      </c>
      <c r="F5" s="2">
        <v>202.01</v>
      </c>
      <c r="G5" s="2">
        <v>681.53099999999995</v>
      </c>
      <c r="H5" s="2">
        <f>14663680/(1024*1024)</f>
        <v>13.984375</v>
      </c>
    </row>
  </sheetData>
  <mergeCells count="2">
    <mergeCell ref="B2:D2"/>
    <mergeCell ref="E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8ABD-B6A3-45A0-8AF1-61A5CE387304}">
  <dimension ref="A2:H5"/>
  <sheetViews>
    <sheetView workbookViewId="0">
      <selection activeCell="G4" sqref="G4:G5"/>
    </sheetView>
  </sheetViews>
  <sheetFormatPr defaultRowHeight="14.5" x14ac:dyDescent="0.35"/>
  <sheetData>
    <row r="2" spans="1:8" x14ac:dyDescent="0.35">
      <c r="A2" s="2"/>
      <c r="B2" s="4" t="s">
        <v>1</v>
      </c>
      <c r="C2" s="4"/>
      <c r="D2" s="4"/>
      <c r="F2" s="1" t="s">
        <v>8</v>
      </c>
      <c r="G2" s="1"/>
      <c r="H2" s="2"/>
    </row>
    <row r="3" spans="1:8" x14ac:dyDescent="0.35">
      <c r="A3" s="2"/>
      <c r="B3" s="2" t="s">
        <v>5</v>
      </c>
      <c r="C3" s="2" t="s">
        <v>6</v>
      </c>
      <c r="D3" s="2" t="s">
        <v>7</v>
      </c>
      <c r="F3" s="2"/>
      <c r="G3" s="2"/>
    </row>
    <row r="4" spans="1:8" x14ac:dyDescent="0.35">
      <c r="A4" s="2" t="s">
        <v>4</v>
      </c>
      <c r="B4" s="2">
        <v>13.962524999999994</v>
      </c>
      <c r="C4" s="2">
        <v>1.927</v>
      </c>
      <c r="D4" s="2">
        <v>51.354999999999997</v>
      </c>
      <c r="F4" s="2">
        <v>75907072</v>
      </c>
      <c r="G4" s="2">
        <f>F4/(1024*1024)</f>
        <v>72.390625</v>
      </c>
      <c r="H4" s="2"/>
    </row>
    <row r="5" spans="1:8" x14ac:dyDescent="0.35">
      <c r="A5" s="2" t="s">
        <v>3</v>
      </c>
      <c r="B5" s="2">
        <v>6.2509999999999959</v>
      </c>
      <c r="C5" s="2">
        <v>1.9810000000000001</v>
      </c>
      <c r="D5" s="2">
        <v>13.513</v>
      </c>
      <c r="F5">
        <v>14626816</v>
      </c>
      <c r="G5" s="2">
        <f>F5/(1024*1024)</f>
        <v>13.94921875</v>
      </c>
      <c r="H5" s="2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99F0-85A6-4C2C-B5E3-D28A78202100}">
  <dimension ref="A2:G10"/>
  <sheetViews>
    <sheetView topLeftCell="G1" workbookViewId="0">
      <selection activeCell="G4" sqref="G4:G5"/>
    </sheetView>
  </sheetViews>
  <sheetFormatPr defaultRowHeight="14.5" x14ac:dyDescent="0.35"/>
  <cols>
    <col min="1" max="1" width="10.7265625" bestFit="1" customWidth="1"/>
  </cols>
  <sheetData>
    <row r="2" spans="1:7" x14ac:dyDescent="0.35">
      <c r="A2" s="2" t="s">
        <v>2</v>
      </c>
      <c r="B2" s="4" t="s">
        <v>1</v>
      </c>
      <c r="C2" s="4"/>
      <c r="D2" s="4"/>
      <c r="F2" s="1" t="s">
        <v>8</v>
      </c>
      <c r="G2" s="1"/>
    </row>
    <row r="3" spans="1:7" x14ac:dyDescent="0.35">
      <c r="A3" s="2"/>
      <c r="B3" s="2" t="s">
        <v>5</v>
      </c>
      <c r="C3" s="2" t="s">
        <v>6</v>
      </c>
      <c r="D3" s="2" t="s">
        <v>7</v>
      </c>
      <c r="F3" s="2"/>
      <c r="G3" s="2"/>
    </row>
    <row r="4" spans="1:7" x14ac:dyDescent="0.35">
      <c r="A4" s="2" t="s">
        <v>4</v>
      </c>
      <c r="B4" s="2">
        <v>25.587725000000006</v>
      </c>
      <c r="C4" s="2">
        <v>10.579000000000001</v>
      </c>
      <c r="D4" s="2">
        <v>59.98</v>
      </c>
      <c r="F4" s="2">
        <v>75907072</v>
      </c>
      <c r="G4" s="2">
        <f>F4/(1024*1024)</f>
        <v>72.390625</v>
      </c>
    </row>
    <row r="5" spans="1:7" x14ac:dyDescent="0.35">
      <c r="A5" s="2" t="s">
        <v>3</v>
      </c>
      <c r="B5" s="2">
        <v>514.67634999999973</v>
      </c>
      <c r="C5" s="2">
        <v>182.65700000000001</v>
      </c>
      <c r="D5" s="2">
        <v>774.048</v>
      </c>
      <c r="F5">
        <v>14643200</v>
      </c>
      <c r="G5" s="2">
        <f>F5/(1024*1024)</f>
        <v>13.96484375</v>
      </c>
    </row>
    <row r="7" spans="1:7" x14ac:dyDescent="0.35">
      <c r="A7" s="2" t="s">
        <v>9</v>
      </c>
      <c r="B7" s="4" t="s">
        <v>1</v>
      </c>
      <c r="C7" s="4"/>
      <c r="D7" s="4"/>
      <c r="F7" s="1" t="s">
        <v>8</v>
      </c>
      <c r="G7" s="1"/>
    </row>
    <row r="8" spans="1:7" x14ac:dyDescent="0.35">
      <c r="A8" s="2"/>
      <c r="B8" s="2" t="s">
        <v>5</v>
      </c>
      <c r="C8" s="2" t="s">
        <v>6</v>
      </c>
      <c r="D8" s="2" t="s">
        <v>7</v>
      </c>
      <c r="F8" s="2"/>
      <c r="G8" s="2"/>
    </row>
    <row r="9" spans="1:7" x14ac:dyDescent="0.35">
      <c r="A9" s="2" t="s">
        <v>4</v>
      </c>
      <c r="B9" s="2">
        <v>15.623089999999999</v>
      </c>
      <c r="C9" s="2">
        <v>5.04</v>
      </c>
      <c r="D9" s="2">
        <v>39.311999999999998</v>
      </c>
      <c r="F9" s="2">
        <v>75939840</v>
      </c>
      <c r="G9" s="2">
        <f>F9/(1024*1024)</f>
        <v>72.421875</v>
      </c>
    </row>
    <row r="10" spans="1:7" x14ac:dyDescent="0.35">
      <c r="A10" s="2" t="s">
        <v>3</v>
      </c>
      <c r="B10" s="2">
        <v>287.47040999999996</v>
      </c>
      <c r="C10" s="2">
        <v>153.136</v>
      </c>
      <c r="D10" s="2">
        <v>449.95699999999999</v>
      </c>
      <c r="F10">
        <v>14643200</v>
      </c>
      <c r="G10" s="2">
        <f>F10/(1024*1024)</f>
        <v>13.96484375</v>
      </c>
    </row>
  </sheetData>
  <mergeCells count="2">
    <mergeCell ref="B2:D2"/>
    <mergeCell ref="B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E782-738D-4665-9E8B-76548549D6FB}">
  <dimension ref="A1:G4"/>
  <sheetViews>
    <sheetView workbookViewId="0">
      <selection activeCell="G3" sqref="G3:G4"/>
    </sheetView>
  </sheetViews>
  <sheetFormatPr defaultRowHeight="14.5" x14ac:dyDescent="0.35"/>
  <sheetData>
    <row r="1" spans="1:7" x14ac:dyDescent="0.35">
      <c r="A1" s="2" t="s">
        <v>10</v>
      </c>
      <c r="B1" s="4" t="s">
        <v>1</v>
      </c>
      <c r="C1" s="4"/>
      <c r="D1" s="4"/>
      <c r="F1" s="1" t="s">
        <v>8</v>
      </c>
      <c r="G1" s="1"/>
    </row>
    <row r="2" spans="1:7" x14ac:dyDescent="0.35">
      <c r="A2" s="2"/>
      <c r="B2" s="2" t="s">
        <v>5</v>
      </c>
      <c r="C2" s="2" t="s">
        <v>6</v>
      </c>
      <c r="D2" s="2" t="s">
        <v>7</v>
      </c>
      <c r="F2" s="2"/>
      <c r="G2" s="2"/>
    </row>
    <row r="3" spans="1:7" x14ac:dyDescent="0.35">
      <c r="A3" s="2" t="s">
        <v>4</v>
      </c>
      <c r="B3" s="2">
        <v>8.2296499999999977</v>
      </c>
      <c r="C3" s="2">
        <v>1.6850000000000001</v>
      </c>
      <c r="D3" s="2">
        <v>29.574000000000002</v>
      </c>
      <c r="F3" s="2">
        <v>75907072</v>
      </c>
      <c r="G3" s="2">
        <f>F3/(1024*1024)</f>
        <v>72.390625</v>
      </c>
    </row>
    <row r="4" spans="1:7" x14ac:dyDescent="0.35">
      <c r="A4" s="2" t="s">
        <v>3</v>
      </c>
      <c r="B4" s="2">
        <v>2.9024100000000006</v>
      </c>
      <c r="C4" s="2">
        <v>0.88500000000000001</v>
      </c>
      <c r="D4" s="2">
        <v>5.548</v>
      </c>
      <c r="F4">
        <v>14675968</v>
      </c>
      <c r="G4" s="2">
        <f>F4/(1024*1024)</f>
        <v>13.99609375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A81C-26A8-441C-8FD7-6DB24B31EB75}">
  <dimension ref="A1:G4"/>
  <sheetViews>
    <sheetView workbookViewId="0">
      <selection activeCell="G3" sqref="G3:G4"/>
    </sheetView>
  </sheetViews>
  <sheetFormatPr defaultRowHeight="14.5" x14ac:dyDescent="0.35"/>
  <sheetData>
    <row r="1" spans="1:7" x14ac:dyDescent="0.35">
      <c r="A1" s="2" t="s">
        <v>10</v>
      </c>
      <c r="B1" s="4" t="s">
        <v>1</v>
      </c>
      <c r="C1" s="4"/>
      <c r="D1" s="4"/>
      <c r="F1" s="1" t="s">
        <v>8</v>
      </c>
      <c r="G1" s="1"/>
    </row>
    <row r="2" spans="1:7" x14ac:dyDescent="0.35">
      <c r="A2" s="2"/>
      <c r="B2" s="2" t="s">
        <v>5</v>
      </c>
      <c r="C2" s="2" t="s">
        <v>6</v>
      </c>
      <c r="D2" s="2" t="s">
        <v>7</v>
      </c>
      <c r="F2" s="2"/>
      <c r="G2" s="2"/>
    </row>
    <row r="3" spans="1:7" x14ac:dyDescent="0.35">
      <c r="A3" s="2" t="s">
        <v>4</v>
      </c>
      <c r="B3" s="2">
        <v>10.504720000000004</v>
      </c>
      <c r="C3" s="2">
        <v>2.048</v>
      </c>
      <c r="D3" s="2">
        <v>36.578000000000003</v>
      </c>
      <c r="F3" s="2">
        <v>75907072</v>
      </c>
      <c r="G3" s="2">
        <f>F3/(1024*1024)</f>
        <v>72.390625</v>
      </c>
    </row>
    <row r="4" spans="1:7" x14ac:dyDescent="0.35">
      <c r="A4" s="2" t="s">
        <v>3</v>
      </c>
      <c r="B4" s="2">
        <v>260.72899999999998</v>
      </c>
      <c r="C4" s="2">
        <v>161.23099999999999</v>
      </c>
      <c r="D4" s="2">
        <v>469.48599999999999</v>
      </c>
      <c r="F4">
        <v>14643200</v>
      </c>
      <c r="G4" s="2">
        <f>F4/(1024*1024)</f>
        <v>13.96484375</v>
      </c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2A83-BBBE-4750-A2AB-D0F188136651}">
  <dimension ref="A1:D5"/>
  <sheetViews>
    <sheetView tabSelected="1" zoomScale="85" zoomScaleNormal="85" workbookViewId="0">
      <selection activeCell="D12" sqref="D12"/>
    </sheetView>
  </sheetViews>
  <sheetFormatPr defaultRowHeight="14.5" x14ac:dyDescent="0.35"/>
  <cols>
    <col min="1" max="1" width="9.54296875" bestFit="1" customWidth="1"/>
  </cols>
  <sheetData>
    <row r="1" spans="1:4" x14ac:dyDescent="0.35">
      <c r="A1" t="s">
        <v>11</v>
      </c>
      <c r="B1" t="s">
        <v>12</v>
      </c>
      <c r="C1" t="s">
        <v>3</v>
      </c>
      <c r="D1" t="s">
        <v>19</v>
      </c>
    </row>
    <row r="2" spans="1:4" x14ac:dyDescent="0.35">
      <c r="A2" t="s">
        <v>13</v>
      </c>
      <c r="B2" s="2">
        <v>13.962524999999994</v>
      </c>
      <c r="C2" s="2">
        <v>6.2509999999999959</v>
      </c>
      <c r="D2">
        <f>B2/C2</f>
        <v>2.2336466165413538</v>
      </c>
    </row>
    <row r="3" spans="1:4" x14ac:dyDescent="0.35">
      <c r="A3" t="s">
        <v>14</v>
      </c>
      <c r="B3" s="2">
        <v>25.587725000000006</v>
      </c>
      <c r="C3" s="2">
        <v>0.5</v>
      </c>
      <c r="D3">
        <f t="shared" ref="D3:D5" si="0">B3/C3</f>
        <v>51.175450000000012</v>
      </c>
    </row>
    <row r="4" spans="1:4" x14ac:dyDescent="0.35">
      <c r="A4" t="s">
        <v>15</v>
      </c>
      <c r="B4" s="2">
        <v>8.2296499999999977</v>
      </c>
      <c r="C4" s="2">
        <v>2.9024100000000006</v>
      </c>
      <c r="D4">
        <f t="shared" si="0"/>
        <v>2.8354539847919473</v>
      </c>
    </row>
    <row r="5" spans="1:4" x14ac:dyDescent="0.35">
      <c r="A5" t="s">
        <v>16</v>
      </c>
      <c r="B5" s="2">
        <v>10.504720000000004</v>
      </c>
      <c r="C5" s="2">
        <v>0.3</v>
      </c>
      <c r="D5">
        <f t="shared" si="0"/>
        <v>35.015733333333351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DD4F-E5E9-42B5-A461-4167A68AF881}">
  <dimension ref="A1:C5"/>
  <sheetViews>
    <sheetView workbookViewId="0">
      <selection activeCell="C12" sqref="C12"/>
    </sheetView>
  </sheetViews>
  <sheetFormatPr defaultRowHeight="14.5" x14ac:dyDescent="0.35"/>
  <cols>
    <col min="1" max="1" width="9.54296875" bestFit="1" customWidth="1"/>
  </cols>
  <sheetData>
    <row r="1" spans="1:3" x14ac:dyDescent="0.35">
      <c r="A1" t="s">
        <v>11</v>
      </c>
      <c r="B1" t="s">
        <v>12</v>
      </c>
      <c r="C1" t="s">
        <v>3</v>
      </c>
    </row>
    <row r="2" spans="1:3" x14ac:dyDescent="0.35">
      <c r="A2" t="s">
        <v>13</v>
      </c>
      <c r="B2" s="2">
        <v>18.79</v>
      </c>
      <c r="C2" s="2">
        <v>9.83</v>
      </c>
    </row>
    <row r="3" spans="1:3" x14ac:dyDescent="0.35">
      <c r="A3" t="s">
        <v>14</v>
      </c>
      <c r="B3" s="2">
        <v>42.85</v>
      </c>
      <c r="C3" s="2">
        <v>35.5</v>
      </c>
    </row>
    <row r="4" spans="1:3" x14ac:dyDescent="0.35">
      <c r="A4" t="s">
        <v>15</v>
      </c>
      <c r="B4" s="2">
        <v>25.84</v>
      </c>
      <c r="C4" s="2">
        <v>4.68</v>
      </c>
    </row>
    <row r="5" spans="1:3" x14ac:dyDescent="0.35">
      <c r="A5" t="s">
        <v>16</v>
      </c>
      <c r="B5" s="2">
        <v>26.85</v>
      </c>
      <c r="C5" s="2">
        <v>15.19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A952-BA8F-4FA5-97FE-8C73ABE707D8}">
  <dimension ref="A1:C5"/>
  <sheetViews>
    <sheetView topLeftCell="A10" workbookViewId="0">
      <selection activeCell="C6" sqref="C6"/>
    </sheetView>
  </sheetViews>
  <sheetFormatPr defaultRowHeight="14.5" x14ac:dyDescent="0.35"/>
  <sheetData>
    <row r="1" spans="1:3" x14ac:dyDescent="0.35">
      <c r="A1" t="s">
        <v>11</v>
      </c>
      <c r="B1" t="s">
        <v>12</v>
      </c>
      <c r="C1" t="s">
        <v>3</v>
      </c>
    </row>
    <row r="2" spans="1:3" x14ac:dyDescent="0.35">
      <c r="A2" t="s">
        <v>13</v>
      </c>
      <c r="B2" s="2">
        <v>733.53</v>
      </c>
      <c r="C2" s="2">
        <v>1497.24</v>
      </c>
    </row>
    <row r="3" spans="1:3" x14ac:dyDescent="0.35">
      <c r="A3" t="s">
        <v>14</v>
      </c>
      <c r="B3" s="2">
        <v>380.06</v>
      </c>
      <c r="C3" s="2">
        <v>1575.5</v>
      </c>
    </row>
    <row r="4" spans="1:3" x14ac:dyDescent="0.35">
      <c r="A4" t="s">
        <v>15</v>
      </c>
      <c r="B4" s="2">
        <v>587.39</v>
      </c>
      <c r="C4" s="2">
        <v>1655.54</v>
      </c>
    </row>
    <row r="5" spans="1:3" x14ac:dyDescent="0.35">
      <c r="A5" t="s">
        <v>16</v>
      </c>
      <c r="B5" s="2">
        <v>453.7</v>
      </c>
      <c r="C5" s="2">
        <v>1490.5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80AF-FF53-4A2E-A224-A909DBC0901B}">
  <dimension ref="A2:I202"/>
  <sheetViews>
    <sheetView topLeftCell="A8" zoomScale="78" workbookViewId="0">
      <selection activeCell="Y20" sqref="Y20"/>
    </sheetView>
  </sheetViews>
  <sheetFormatPr defaultRowHeight="14.5" x14ac:dyDescent="0.35"/>
  <sheetData>
    <row r="2" spans="1:9" x14ac:dyDescent="0.35">
      <c r="A2" t="s">
        <v>18</v>
      </c>
      <c r="B2" s="3" t="s">
        <v>17</v>
      </c>
      <c r="C2" s="3" t="s">
        <v>4</v>
      </c>
      <c r="G2" t="s">
        <v>2</v>
      </c>
      <c r="H2" s="3" t="s">
        <v>17</v>
      </c>
      <c r="I2" s="3" t="s">
        <v>4</v>
      </c>
    </row>
    <row r="3" spans="1:9" x14ac:dyDescent="0.35">
      <c r="B3">
        <v>161.23099999999999</v>
      </c>
      <c r="C3">
        <v>13.596</v>
      </c>
      <c r="H3">
        <v>182.65700000000001</v>
      </c>
      <c r="I3">
        <v>13.863</v>
      </c>
    </row>
    <row r="4" spans="1:9" x14ac:dyDescent="0.35">
      <c r="B4">
        <v>397.911</v>
      </c>
      <c r="C4">
        <v>17.72</v>
      </c>
      <c r="H4">
        <v>182.66300000000001</v>
      </c>
      <c r="I4">
        <v>15.99</v>
      </c>
    </row>
    <row r="5" spans="1:9" x14ac:dyDescent="0.35">
      <c r="B5">
        <v>406.50400000000002</v>
      </c>
      <c r="C5">
        <v>18.437999999999999</v>
      </c>
      <c r="H5">
        <v>430.40100000000001</v>
      </c>
      <c r="I5">
        <v>19.344999999999999</v>
      </c>
    </row>
    <row r="6" spans="1:9" x14ac:dyDescent="0.35">
      <c r="B6">
        <v>441.50299999999999</v>
      </c>
      <c r="C6">
        <v>28.635999999999999</v>
      </c>
      <c r="H6">
        <v>654.98500000000001</v>
      </c>
      <c r="I6">
        <v>17.266999999999999</v>
      </c>
    </row>
    <row r="7" spans="1:9" x14ac:dyDescent="0.35">
      <c r="B7">
        <v>469.48599999999999</v>
      </c>
      <c r="C7">
        <v>12.744999999999999</v>
      </c>
      <c r="H7">
        <v>473.77100000000002</v>
      </c>
      <c r="I7">
        <v>17.917000000000002</v>
      </c>
    </row>
    <row r="8" spans="1:9" x14ac:dyDescent="0.35">
      <c r="B8">
        <v>308.93200000000002</v>
      </c>
      <c r="C8">
        <v>11.176</v>
      </c>
      <c r="H8">
        <v>654.35400000000004</v>
      </c>
      <c r="I8">
        <v>16.814</v>
      </c>
    </row>
    <row r="9" spans="1:9" x14ac:dyDescent="0.35">
      <c r="B9">
        <v>167.34700000000001</v>
      </c>
      <c r="C9">
        <v>15.891999999999999</v>
      </c>
      <c r="H9">
        <v>653.72799999999995</v>
      </c>
      <c r="I9">
        <v>24.007000000000001</v>
      </c>
    </row>
    <row r="10" spans="1:9" x14ac:dyDescent="0.35">
      <c r="B10">
        <v>207.75800000000001</v>
      </c>
      <c r="C10">
        <v>3.6070000000000002</v>
      </c>
      <c r="H10">
        <v>652.45799999999997</v>
      </c>
      <c r="I10">
        <v>20.3</v>
      </c>
    </row>
    <row r="11" spans="1:9" x14ac:dyDescent="0.35">
      <c r="B11">
        <v>235.38300000000001</v>
      </c>
      <c r="C11">
        <v>4.0599999999999996</v>
      </c>
      <c r="H11">
        <v>653.65300000000002</v>
      </c>
      <c r="I11">
        <v>22.963000000000001</v>
      </c>
    </row>
    <row r="12" spans="1:9" x14ac:dyDescent="0.35">
      <c r="B12">
        <v>229.72300000000001</v>
      </c>
      <c r="C12">
        <v>36.578000000000003</v>
      </c>
      <c r="H12">
        <v>655.25599999999997</v>
      </c>
      <c r="I12">
        <v>22.484000000000002</v>
      </c>
    </row>
    <row r="13" spans="1:9" x14ac:dyDescent="0.35">
      <c r="B13">
        <v>281.93700000000001</v>
      </c>
      <c r="C13">
        <v>3.694</v>
      </c>
      <c r="H13">
        <v>656.33799999999997</v>
      </c>
      <c r="I13">
        <v>17.962</v>
      </c>
    </row>
    <row r="14" spans="1:9" x14ac:dyDescent="0.35">
      <c r="B14">
        <v>234.64599999999999</v>
      </c>
      <c r="C14">
        <v>10.455</v>
      </c>
      <c r="H14">
        <v>633.38199999999995</v>
      </c>
      <c r="I14">
        <v>17.120999999999999</v>
      </c>
    </row>
    <row r="15" spans="1:9" x14ac:dyDescent="0.35">
      <c r="B15">
        <v>245.55799999999999</v>
      </c>
      <c r="C15">
        <v>15.519</v>
      </c>
      <c r="H15">
        <v>275.07</v>
      </c>
      <c r="I15">
        <v>18.443000000000001</v>
      </c>
    </row>
    <row r="16" spans="1:9" x14ac:dyDescent="0.35">
      <c r="B16">
        <v>315.19</v>
      </c>
      <c r="C16">
        <v>17.106999999999999</v>
      </c>
      <c r="H16">
        <v>439.36</v>
      </c>
      <c r="I16">
        <v>15.670999999999999</v>
      </c>
    </row>
    <row r="17" spans="2:9" x14ac:dyDescent="0.35">
      <c r="B17">
        <v>258.79199999999997</v>
      </c>
      <c r="C17">
        <v>10.211</v>
      </c>
      <c r="H17">
        <v>440.327</v>
      </c>
      <c r="I17">
        <v>17.696999999999999</v>
      </c>
    </row>
    <row r="18" spans="2:9" x14ac:dyDescent="0.35">
      <c r="B18">
        <v>290.06</v>
      </c>
      <c r="C18">
        <v>5.3680000000000003</v>
      </c>
      <c r="H18">
        <v>665.82899999999995</v>
      </c>
      <c r="I18">
        <v>16.690000000000001</v>
      </c>
    </row>
    <row r="19" spans="2:9" x14ac:dyDescent="0.35">
      <c r="B19">
        <v>337.108</v>
      </c>
      <c r="C19">
        <v>7.9539999999999997</v>
      </c>
      <c r="H19">
        <v>678.75800000000004</v>
      </c>
      <c r="I19">
        <v>16.236999999999998</v>
      </c>
    </row>
    <row r="20" spans="2:9" x14ac:dyDescent="0.35">
      <c r="B20">
        <v>258.12299999999999</v>
      </c>
      <c r="C20">
        <v>7.4219999999999997</v>
      </c>
      <c r="H20">
        <v>679.15599999999995</v>
      </c>
      <c r="I20">
        <v>15.207000000000001</v>
      </c>
    </row>
    <row r="21" spans="2:9" x14ac:dyDescent="0.35">
      <c r="B21">
        <v>230.02500000000001</v>
      </c>
      <c r="C21">
        <v>5.3869999999999996</v>
      </c>
      <c r="H21">
        <v>679.05600000000004</v>
      </c>
      <c r="I21">
        <v>14.992000000000001</v>
      </c>
    </row>
    <row r="22" spans="2:9" x14ac:dyDescent="0.35">
      <c r="B22">
        <v>327.06299999999999</v>
      </c>
      <c r="C22">
        <v>7.38</v>
      </c>
      <c r="H22">
        <v>523.505</v>
      </c>
      <c r="I22">
        <v>10.579000000000001</v>
      </c>
    </row>
    <row r="23" spans="2:9" x14ac:dyDescent="0.35">
      <c r="B23">
        <v>219.012</v>
      </c>
      <c r="C23">
        <v>6.61</v>
      </c>
      <c r="H23">
        <v>680.37400000000002</v>
      </c>
      <c r="I23">
        <v>17.696999999999999</v>
      </c>
    </row>
    <row r="24" spans="2:9" x14ac:dyDescent="0.35">
      <c r="B24">
        <v>221.023</v>
      </c>
      <c r="C24">
        <v>24.664000000000001</v>
      </c>
      <c r="H24">
        <v>681.71500000000003</v>
      </c>
      <c r="I24">
        <v>23.553000000000001</v>
      </c>
    </row>
    <row r="25" spans="2:9" x14ac:dyDescent="0.35">
      <c r="B25">
        <v>208.61099999999999</v>
      </c>
      <c r="C25">
        <v>4.8979999999999997</v>
      </c>
      <c r="H25">
        <v>408.58699999999999</v>
      </c>
      <c r="I25">
        <v>14.371</v>
      </c>
    </row>
    <row r="26" spans="2:9" x14ac:dyDescent="0.35">
      <c r="B26">
        <v>218.44200000000001</v>
      </c>
      <c r="C26">
        <v>5.6040000000000001</v>
      </c>
      <c r="H26">
        <v>373.923</v>
      </c>
      <c r="I26">
        <v>27.829000000000001</v>
      </c>
    </row>
    <row r="27" spans="2:9" x14ac:dyDescent="0.35">
      <c r="B27">
        <v>193.50800000000001</v>
      </c>
      <c r="C27">
        <v>6.0839999999999996</v>
      </c>
      <c r="H27">
        <v>375.56099999999998</v>
      </c>
      <c r="I27">
        <v>37.085999999999999</v>
      </c>
    </row>
    <row r="28" spans="2:9" x14ac:dyDescent="0.35">
      <c r="B28">
        <v>240.72800000000001</v>
      </c>
      <c r="C28">
        <v>5.4690000000000003</v>
      </c>
      <c r="H28">
        <v>240.82599999999999</v>
      </c>
      <c r="I28">
        <v>27.446999999999999</v>
      </c>
    </row>
    <row r="29" spans="2:9" x14ac:dyDescent="0.35">
      <c r="B29">
        <v>234.53399999999999</v>
      </c>
      <c r="C29">
        <v>5.7210000000000001</v>
      </c>
      <c r="H29">
        <v>601.11400000000003</v>
      </c>
      <c r="I29">
        <v>43.94</v>
      </c>
    </row>
    <row r="30" spans="2:9" x14ac:dyDescent="0.35">
      <c r="B30">
        <v>205.15700000000001</v>
      </c>
      <c r="C30">
        <v>6.3689999999999998</v>
      </c>
      <c r="H30">
        <v>374.59699999999998</v>
      </c>
      <c r="I30">
        <v>27.113</v>
      </c>
    </row>
    <row r="31" spans="2:9" x14ac:dyDescent="0.35">
      <c r="B31">
        <v>261.30200000000002</v>
      </c>
      <c r="C31">
        <v>4.1639999999999997</v>
      </c>
      <c r="H31">
        <v>363.577</v>
      </c>
      <c r="I31">
        <v>25.105</v>
      </c>
    </row>
    <row r="32" spans="2:9" x14ac:dyDescent="0.35">
      <c r="B32">
        <v>232.67400000000001</v>
      </c>
      <c r="C32">
        <v>5.2779999999999996</v>
      </c>
      <c r="H32">
        <v>621.71299999999997</v>
      </c>
      <c r="I32">
        <v>46.152999999999999</v>
      </c>
    </row>
    <row r="33" spans="2:9" x14ac:dyDescent="0.35">
      <c r="B33">
        <v>235.511</v>
      </c>
      <c r="C33">
        <v>4.1070000000000002</v>
      </c>
      <c r="H33">
        <v>624.80399999999997</v>
      </c>
      <c r="I33">
        <v>20.968</v>
      </c>
    </row>
    <row r="34" spans="2:9" x14ac:dyDescent="0.35">
      <c r="B34">
        <v>236.76599999999999</v>
      </c>
      <c r="C34">
        <v>4.3650000000000002</v>
      </c>
      <c r="H34">
        <v>622.60900000000004</v>
      </c>
      <c r="I34">
        <v>16.59</v>
      </c>
    </row>
    <row r="35" spans="2:9" x14ac:dyDescent="0.35">
      <c r="B35">
        <v>233.95500000000001</v>
      </c>
      <c r="C35">
        <v>4.859</v>
      </c>
      <c r="H35">
        <v>624.476</v>
      </c>
      <c r="I35">
        <v>20.651</v>
      </c>
    </row>
    <row r="36" spans="2:9" x14ac:dyDescent="0.35">
      <c r="B36">
        <v>233.58500000000001</v>
      </c>
      <c r="C36">
        <v>24.47</v>
      </c>
      <c r="H36">
        <v>493.512</v>
      </c>
      <c r="I36">
        <v>15.948</v>
      </c>
    </row>
    <row r="37" spans="2:9" x14ac:dyDescent="0.35">
      <c r="B37">
        <v>238.12799999999999</v>
      </c>
      <c r="C37">
        <v>5.4530000000000003</v>
      </c>
      <c r="H37">
        <v>625.01</v>
      </c>
      <c r="I37">
        <v>11.948</v>
      </c>
    </row>
    <row r="38" spans="2:9" x14ac:dyDescent="0.35">
      <c r="B38">
        <v>280.42</v>
      </c>
      <c r="C38">
        <v>5.5330000000000004</v>
      </c>
      <c r="H38">
        <v>394.17099999999999</v>
      </c>
      <c r="I38">
        <v>17.042999999999999</v>
      </c>
    </row>
    <row r="39" spans="2:9" x14ac:dyDescent="0.35">
      <c r="B39">
        <v>253.548</v>
      </c>
      <c r="C39">
        <v>4.2050000000000001</v>
      </c>
      <c r="H39">
        <v>375.82799999999997</v>
      </c>
      <c r="I39">
        <v>22.187000000000001</v>
      </c>
    </row>
    <row r="40" spans="2:9" x14ac:dyDescent="0.35">
      <c r="B40">
        <v>225.66</v>
      </c>
      <c r="C40">
        <v>3.214</v>
      </c>
      <c r="H40">
        <v>517.83500000000004</v>
      </c>
      <c r="I40">
        <v>24.251999999999999</v>
      </c>
    </row>
    <row r="41" spans="2:9" x14ac:dyDescent="0.35">
      <c r="B41">
        <v>271.423</v>
      </c>
      <c r="C41">
        <v>2.048</v>
      </c>
      <c r="H41">
        <v>402.57799999999997</v>
      </c>
      <c r="I41">
        <v>31.684000000000001</v>
      </c>
    </row>
    <row r="42" spans="2:9" x14ac:dyDescent="0.35">
      <c r="B42">
        <v>241.887</v>
      </c>
      <c r="C42">
        <v>18.045000000000002</v>
      </c>
      <c r="H42">
        <v>274.31599999999997</v>
      </c>
      <c r="I42">
        <v>21.462</v>
      </c>
    </row>
    <row r="43" spans="2:9" x14ac:dyDescent="0.35">
      <c r="B43">
        <v>249.935</v>
      </c>
      <c r="C43">
        <v>18.850000000000001</v>
      </c>
      <c r="H43">
        <v>373.774</v>
      </c>
      <c r="I43">
        <v>24.788</v>
      </c>
    </row>
    <row r="44" spans="2:9" x14ac:dyDescent="0.35">
      <c r="B44">
        <v>206.88200000000001</v>
      </c>
      <c r="C44">
        <v>12.760999999999999</v>
      </c>
      <c r="H44">
        <v>375.92599999999999</v>
      </c>
      <c r="I44">
        <v>32.860999999999997</v>
      </c>
    </row>
    <row r="45" spans="2:9" x14ac:dyDescent="0.35">
      <c r="B45">
        <v>203.82499999999999</v>
      </c>
      <c r="C45">
        <v>17.068999999999999</v>
      </c>
      <c r="H45">
        <v>521.572</v>
      </c>
      <c r="I45">
        <v>23.294</v>
      </c>
    </row>
    <row r="46" spans="2:9" x14ac:dyDescent="0.35">
      <c r="B46">
        <v>213.84700000000001</v>
      </c>
      <c r="C46">
        <v>32.572000000000003</v>
      </c>
      <c r="H46">
        <v>532.43600000000004</v>
      </c>
      <c r="I46">
        <v>18.358000000000001</v>
      </c>
    </row>
    <row r="47" spans="2:9" x14ac:dyDescent="0.35">
      <c r="B47">
        <v>310.096</v>
      </c>
      <c r="C47">
        <v>4.1150000000000002</v>
      </c>
      <c r="H47">
        <v>532.07799999999997</v>
      </c>
      <c r="I47">
        <v>27.413</v>
      </c>
    </row>
    <row r="48" spans="2:9" x14ac:dyDescent="0.35">
      <c r="B48">
        <v>216.54300000000001</v>
      </c>
      <c r="C48">
        <v>4.6609999999999996</v>
      </c>
      <c r="H48">
        <v>408.36099999999999</v>
      </c>
      <c r="I48">
        <v>28.289000000000001</v>
      </c>
    </row>
    <row r="49" spans="2:9" x14ac:dyDescent="0.35">
      <c r="B49">
        <v>324.49700000000001</v>
      </c>
      <c r="C49">
        <v>4.6500000000000004</v>
      </c>
      <c r="H49">
        <v>531.20299999999997</v>
      </c>
      <c r="I49">
        <v>15.644</v>
      </c>
    </row>
    <row r="50" spans="2:9" x14ac:dyDescent="0.35">
      <c r="B50">
        <v>300.27</v>
      </c>
      <c r="C50">
        <v>6.2439999999999998</v>
      </c>
      <c r="H50">
        <v>438.44900000000001</v>
      </c>
      <c r="I50">
        <v>18.497</v>
      </c>
    </row>
    <row r="51" spans="2:9" x14ac:dyDescent="0.35">
      <c r="B51">
        <v>195.273</v>
      </c>
      <c r="C51">
        <v>12.930999999999999</v>
      </c>
      <c r="H51">
        <v>337.88499999999999</v>
      </c>
      <c r="I51">
        <v>19.465</v>
      </c>
    </row>
    <row r="52" spans="2:9" x14ac:dyDescent="0.35">
      <c r="B52">
        <v>325.12799999999999</v>
      </c>
      <c r="C52">
        <v>7.2779999999999996</v>
      </c>
      <c r="H52">
        <v>458.67500000000001</v>
      </c>
      <c r="I52">
        <v>20.58</v>
      </c>
    </row>
    <row r="53" spans="2:9" x14ac:dyDescent="0.35">
      <c r="H53">
        <v>439.43700000000001</v>
      </c>
      <c r="I53">
        <v>27.228999999999999</v>
      </c>
    </row>
    <row r="54" spans="2:9" x14ac:dyDescent="0.35">
      <c r="H54">
        <v>388.34</v>
      </c>
      <c r="I54">
        <v>23.390999999999998</v>
      </c>
    </row>
    <row r="55" spans="2:9" x14ac:dyDescent="0.35">
      <c r="H55">
        <v>544.52800000000002</v>
      </c>
      <c r="I55">
        <v>24.411999999999999</v>
      </c>
    </row>
    <row r="56" spans="2:9" x14ac:dyDescent="0.35">
      <c r="H56">
        <v>641.83600000000001</v>
      </c>
      <c r="I56">
        <v>22.888000000000002</v>
      </c>
    </row>
    <row r="57" spans="2:9" x14ac:dyDescent="0.35">
      <c r="H57">
        <v>462.298</v>
      </c>
      <c r="I57">
        <v>25.824999999999999</v>
      </c>
    </row>
    <row r="58" spans="2:9" x14ac:dyDescent="0.35">
      <c r="H58">
        <v>643.92700000000002</v>
      </c>
      <c r="I58">
        <v>24.78</v>
      </c>
    </row>
    <row r="59" spans="2:9" x14ac:dyDescent="0.35">
      <c r="H59">
        <v>643.05799999999999</v>
      </c>
      <c r="I59">
        <v>21.884</v>
      </c>
    </row>
    <row r="60" spans="2:9" x14ac:dyDescent="0.35">
      <c r="H60">
        <v>644.04499999999996</v>
      </c>
      <c r="I60">
        <v>20.861000000000001</v>
      </c>
    </row>
    <row r="61" spans="2:9" x14ac:dyDescent="0.35">
      <c r="H61">
        <v>632.89300000000003</v>
      </c>
      <c r="I61">
        <v>18.044</v>
      </c>
    </row>
    <row r="62" spans="2:9" x14ac:dyDescent="0.35">
      <c r="H62">
        <v>635.18799999999999</v>
      </c>
      <c r="I62">
        <v>21.396000000000001</v>
      </c>
    </row>
    <row r="63" spans="2:9" x14ac:dyDescent="0.35">
      <c r="H63">
        <v>635.93399999999997</v>
      </c>
      <c r="I63">
        <v>17.594000000000001</v>
      </c>
    </row>
    <row r="64" spans="2:9" x14ac:dyDescent="0.35">
      <c r="H64">
        <v>427.11500000000001</v>
      </c>
      <c r="I64">
        <v>15.944000000000001</v>
      </c>
    </row>
    <row r="65" spans="8:9" x14ac:dyDescent="0.35">
      <c r="H65">
        <v>650.85199999999998</v>
      </c>
      <c r="I65">
        <v>23.675000000000001</v>
      </c>
    </row>
    <row r="66" spans="8:9" x14ac:dyDescent="0.35">
      <c r="H66">
        <v>404.11799999999999</v>
      </c>
      <c r="I66">
        <v>21.355</v>
      </c>
    </row>
    <row r="67" spans="8:9" x14ac:dyDescent="0.35">
      <c r="H67">
        <v>668.46</v>
      </c>
      <c r="I67">
        <v>22.681999999999999</v>
      </c>
    </row>
    <row r="68" spans="8:9" x14ac:dyDescent="0.35">
      <c r="H68">
        <v>499.15499999999997</v>
      </c>
      <c r="I68">
        <v>21.36</v>
      </c>
    </row>
    <row r="69" spans="8:9" x14ac:dyDescent="0.35">
      <c r="H69">
        <v>498.20400000000001</v>
      </c>
      <c r="I69">
        <v>16.747</v>
      </c>
    </row>
    <row r="70" spans="8:9" x14ac:dyDescent="0.35">
      <c r="H70">
        <v>668.83500000000004</v>
      </c>
      <c r="I70">
        <v>44.789000000000001</v>
      </c>
    </row>
    <row r="71" spans="8:9" x14ac:dyDescent="0.35">
      <c r="H71">
        <v>672.56799999999998</v>
      </c>
      <c r="I71">
        <v>22.006</v>
      </c>
    </row>
    <row r="72" spans="8:9" x14ac:dyDescent="0.35">
      <c r="H72">
        <v>671.15800000000002</v>
      </c>
      <c r="I72">
        <v>20.623999999999999</v>
      </c>
    </row>
    <row r="73" spans="8:9" x14ac:dyDescent="0.35">
      <c r="H73">
        <v>582.40200000000004</v>
      </c>
      <c r="I73">
        <v>23.896999999999998</v>
      </c>
    </row>
    <row r="74" spans="8:9" x14ac:dyDescent="0.35">
      <c r="H74">
        <v>461.66</v>
      </c>
      <c r="I74">
        <v>20.951000000000001</v>
      </c>
    </row>
    <row r="75" spans="8:9" x14ac:dyDescent="0.35">
      <c r="H75">
        <v>455.97699999999998</v>
      </c>
      <c r="I75">
        <v>22.87</v>
      </c>
    </row>
    <row r="76" spans="8:9" x14ac:dyDescent="0.35">
      <c r="H76">
        <v>687.11699999999996</v>
      </c>
      <c r="I76">
        <v>23.968</v>
      </c>
    </row>
    <row r="77" spans="8:9" x14ac:dyDescent="0.35">
      <c r="H77">
        <v>323.041</v>
      </c>
      <c r="I77">
        <v>18.882000000000001</v>
      </c>
    </row>
    <row r="78" spans="8:9" x14ac:dyDescent="0.35">
      <c r="H78">
        <v>571.00400000000002</v>
      </c>
      <c r="I78">
        <v>23.067</v>
      </c>
    </row>
    <row r="79" spans="8:9" x14ac:dyDescent="0.35">
      <c r="H79">
        <v>382.56</v>
      </c>
      <c r="I79">
        <v>27.187999999999999</v>
      </c>
    </row>
    <row r="80" spans="8:9" x14ac:dyDescent="0.35">
      <c r="H80">
        <v>572.23699999999997</v>
      </c>
      <c r="I80">
        <v>26.707000000000001</v>
      </c>
    </row>
    <row r="81" spans="8:9" x14ac:dyDescent="0.35">
      <c r="H81">
        <v>592.41899999999998</v>
      </c>
      <c r="I81">
        <v>26.071999999999999</v>
      </c>
    </row>
    <row r="82" spans="8:9" x14ac:dyDescent="0.35">
      <c r="H82">
        <v>595.053</v>
      </c>
      <c r="I82">
        <v>23.021000000000001</v>
      </c>
    </row>
    <row r="83" spans="8:9" x14ac:dyDescent="0.35">
      <c r="H83">
        <v>594.39400000000001</v>
      </c>
      <c r="I83">
        <v>26.251000000000001</v>
      </c>
    </row>
    <row r="84" spans="8:9" x14ac:dyDescent="0.35">
      <c r="H84">
        <v>516.178</v>
      </c>
      <c r="I84">
        <v>32.228999999999999</v>
      </c>
    </row>
    <row r="85" spans="8:9" x14ac:dyDescent="0.35">
      <c r="H85">
        <v>522.64200000000005</v>
      </c>
      <c r="I85">
        <v>24.952000000000002</v>
      </c>
    </row>
    <row r="86" spans="8:9" x14ac:dyDescent="0.35">
      <c r="H86">
        <v>653.303</v>
      </c>
      <c r="I86">
        <v>27.146000000000001</v>
      </c>
    </row>
    <row r="87" spans="8:9" x14ac:dyDescent="0.35">
      <c r="H87">
        <v>521.06600000000003</v>
      </c>
      <c r="I87">
        <v>32.670999999999999</v>
      </c>
    </row>
    <row r="88" spans="8:9" x14ac:dyDescent="0.35">
      <c r="H88">
        <v>284.952</v>
      </c>
      <c r="I88">
        <v>30.725000000000001</v>
      </c>
    </row>
    <row r="89" spans="8:9" x14ac:dyDescent="0.35">
      <c r="H89">
        <v>542.52200000000005</v>
      </c>
      <c r="I89">
        <v>27.398</v>
      </c>
    </row>
    <row r="90" spans="8:9" x14ac:dyDescent="0.35">
      <c r="H90">
        <v>542.47</v>
      </c>
      <c r="I90">
        <v>27.692</v>
      </c>
    </row>
    <row r="91" spans="8:9" x14ac:dyDescent="0.35">
      <c r="H91">
        <v>518.53300000000002</v>
      </c>
      <c r="I91">
        <v>28.96</v>
      </c>
    </row>
    <row r="92" spans="8:9" x14ac:dyDescent="0.35">
      <c r="H92">
        <v>522.44299999999998</v>
      </c>
      <c r="I92">
        <v>27.081</v>
      </c>
    </row>
    <row r="93" spans="8:9" x14ac:dyDescent="0.35">
      <c r="H93">
        <v>523.476</v>
      </c>
      <c r="I93">
        <v>28.074999999999999</v>
      </c>
    </row>
    <row r="94" spans="8:9" x14ac:dyDescent="0.35">
      <c r="H94">
        <v>518.28200000000004</v>
      </c>
      <c r="I94">
        <v>27.917999999999999</v>
      </c>
    </row>
    <row r="95" spans="8:9" x14ac:dyDescent="0.35">
      <c r="H95">
        <v>534.12099999999998</v>
      </c>
      <c r="I95">
        <v>27.128</v>
      </c>
    </row>
    <row r="96" spans="8:9" x14ac:dyDescent="0.35">
      <c r="H96">
        <v>666.447</v>
      </c>
      <c r="I96">
        <v>33.359000000000002</v>
      </c>
    </row>
    <row r="97" spans="8:9" x14ac:dyDescent="0.35">
      <c r="H97">
        <v>534.41800000000001</v>
      </c>
      <c r="I97">
        <v>25.8</v>
      </c>
    </row>
    <row r="98" spans="8:9" x14ac:dyDescent="0.35">
      <c r="H98">
        <v>510.71699999999998</v>
      </c>
      <c r="I98">
        <v>26.332000000000001</v>
      </c>
    </row>
    <row r="99" spans="8:9" x14ac:dyDescent="0.35">
      <c r="H99">
        <v>510.76</v>
      </c>
      <c r="I99">
        <v>26.488</v>
      </c>
    </row>
    <row r="100" spans="8:9" x14ac:dyDescent="0.35">
      <c r="H100">
        <v>513.93899999999996</v>
      </c>
      <c r="I100">
        <v>25.55</v>
      </c>
    </row>
    <row r="101" spans="8:9" x14ac:dyDescent="0.35">
      <c r="H101">
        <v>514.82500000000005</v>
      </c>
      <c r="I101">
        <v>31.081</v>
      </c>
    </row>
    <row r="102" spans="8:9" x14ac:dyDescent="0.35">
      <c r="H102">
        <v>514.84400000000005</v>
      </c>
      <c r="I102">
        <v>26.114999999999998</v>
      </c>
    </row>
    <row r="103" spans="8:9" x14ac:dyDescent="0.35">
      <c r="H103">
        <v>774.048</v>
      </c>
      <c r="I103">
        <v>28.125</v>
      </c>
    </row>
    <row r="104" spans="8:9" x14ac:dyDescent="0.35">
      <c r="H104">
        <v>682.30899999999997</v>
      </c>
      <c r="I104">
        <v>25.795999999999999</v>
      </c>
    </row>
    <row r="105" spans="8:9" x14ac:dyDescent="0.35">
      <c r="H105">
        <v>424.19400000000002</v>
      </c>
      <c r="I105">
        <v>32.161999999999999</v>
      </c>
    </row>
    <row r="106" spans="8:9" x14ac:dyDescent="0.35">
      <c r="H106">
        <v>688.19600000000003</v>
      </c>
      <c r="I106">
        <v>23.457000000000001</v>
      </c>
    </row>
    <row r="107" spans="8:9" x14ac:dyDescent="0.35">
      <c r="H107">
        <v>437.94900000000001</v>
      </c>
      <c r="I107">
        <v>26.907</v>
      </c>
    </row>
    <row r="108" spans="8:9" x14ac:dyDescent="0.35">
      <c r="H108">
        <v>689.88400000000001</v>
      </c>
      <c r="I108">
        <v>26.015999999999998</v>
      </c>
    </row>
    <row r="109" spans="8:9" x14ac:dyDescent="0.35">
      <c r="H109">
        <v>441.35599999999999</v>
      </c>
      <c r="I109">
        <v>27.512</v>
      </c>
    </row>
    <row r="110" spans="8:9" x14ac:dyDescent="0.35">
      <c r="H110">
        <v>633.82000000000005</v>
      </c>
      <c r="I110">
        <v>25.593</v>
      </c>
    </row>
    <row r="111" spans="8:9" x14ac:dyDescent="0.35">
      <c r="H111">
        <v>659.80700000000002</v>
      </c>
      <c r="I111">
        <v>31.757999999999999</v>
      </c>
    </row>
    <row r="112" spans="8:9" x14ac:dyDescent="0.35">
      <c r="H112">
        <v>658.57</v>
      </c>
      <c r="I112">
        <v>31.645</v>
      </c>
    </row>
    <row r="113" spans="8:9" x14ac:dyDescent="0.35">
      <c r="H113">
        <v>487.88299999999998</v>
      </c>
      <c r="I113">
        <v>26.378</v>
      </c>
    </row>
    <row r="114" spans="8:9" x14ac:dyDescent="0.35">
      <c r="H114">
        <v>660.779</v>
      </c>
      <c r="I114">
        <v>28.428999999999998</v>
      </c>
    </row>
    <row r="115" spans="8:9" x14ac:dyDescent="0.35">
      <c r="H115">
        <v>418.57299999999998</v>
      </c>
      <c r="I115">
        <v>34.783000000000001</v>
      </c>
    </row>
    <row r="116" spans="8:9" x14ac:dyDescent="0.35">
      <c r="H116">
        <v>688.65499999999997</v>
      </c>
      <c r="I116">
        <v>32.280999999999999</v>
      </c>
    </row>
    <row r="117" spans="8:9" x14ac:dyDescent="0.35">
      <c r="H117">
        <v>519.35400000000004</v>
      </c>
      <c r="I117">
        <v>30.593</v>
      </c>
    </row>
    <row r="118" spans="8:9" x14ac:dyDescent="0.35">
      <c r="H118">
        <v>715.12300000000005</v>
      </c>
      <c r="I118">
        <v>26.827000000000002</v>
      </c>
    </row>
    <row r="119" spans="8:9" x14ac:dyDescent="0.35">
      <c r="H119">
        <v>299.23599999999999</v>
      </c>
      <c r="I119">
        <v>31.297999999999998</v>
      </c>
    </row>
    <row r="120" spans="8:9" x14ac:dyDescent="0.35">
      <c r="H120">
        <v>494.58</v>
      </c>
      <c r="I120">
        <v>25.936</v>
      </c>
    </row>
    <row r="121" spans="8:9" x14ac:dyDescent="0.35">
      <c r="H121">
        <v>717.44600000000003</v>
      </c>
      <c r="I121">
        <v>25.899000000000001</v>
      </c>
    </row>
    <row r="122" spans="8:9" x14ac:dyDescent="0.35">
      <c r="H122">
        <v>717.34699999999998</v>
      </c>
      <c r="I122">
        <v>25.347999999999999</v>
      </c>
    </row>
    <row r="123" spans="8:9" x14ac:dyDescent="0.35">
      <c r="H123">
        <v>652.59900000000005</v>
      </c>
      <c r="I123">
        <v>22.03</v>
      </c>
    </row>
    <row r="124" spans="8:9" x14ac:dyDescent="0.35">
      <c r="H124">
        <v>652.16999999999996</v>
      </c>
      <c r="I124">
        <v>23.835999999999999</v>
      </c>
    </row>
    <row r="125" spans="8:9" x14ac:dyDescent="0.35">
      <c r="H125">
        <v>452.05399999999997</v>
      </c>
      <c r="I125">
        <v>29.265000000000001</v>
      </c>
    </row>
    <row r="126" spans="8:9" x14ac:dyDescent="0.35">
      <c r="H126">
        <v>654.399</v>
      </c>
      <c r="I126">
        <v>22.503</v>
      </c>
    </row>
    <row r="127" spans="8:9" x14ac:dyDescent="0.35">
      <c r="H127">
        <v>370.48500000000001</v>
      </c>
      <c r="I127">
        <v>26.709</v>
      </c>
    </row>
    <row r="128" spans="8:9" x14ac:dyDescent="0.35">
      <c r="H128">
        <v>485.02600000000001</v>
      </c>
      <c r="I128">
        <v>23.638999999999999</v>
      </c>
    </row>
    <row r="129" spans="8:9" x14ac:dyDescent="0.35">
      <c r="H129">
        <v>485.64800000000002</v>
      </c>
      <c r="I129">
        <v>26.757999999999999</v>
      </c>
    </row>
    <row r="130" spans="8:9" x14ac:dyDescent="0.35">
      <c r="H130">
        <v>471.03199999999998</v>
      </c>
      <c r="I130">
        <v>25.38</v>
      </c>
    </row>
    <row r="131" spans="8:9" x14ac:dyDescent="0.35">
      <c r="H131">
        <v>628.31600000000003</v>
      </c>
      <c r="I131">
        <v>25.425000000000001</v>
      </c>
    </row>
    <row r="132" spans="8:9" x14ac:dyDescent="0.35">
      <c r="H132">
        <v>631.11099999999999</v>
      </c>
      <c r="I132">
        <v>28.123999999999999</v>
      </c>
    </row>
    <row r="133" spans="8:9" x14ac:dyDescent="0.35">
      <c r="H133">
        <v>631.78499999999997</v>
      </c>
      <c r="I133">
        <v>26.010999999999999</v>
      </c>
    </row>
    <row r="134" spans="8:9" x14ac:dyDescent="0.35">
      <c r="H134">
        <v>464.90100000000001</v>
      </c>
      <c r="I134">
        <v>24.613</v>
      </c>
    </row>
    <row r="135" spans="8:9" x14ac:dyDescent="0.35">
      <c r="H135">
        <v>351.803</v>
      </c>
      <c r="I135">
        <v>25.132999999999999</v>
      </c>
    </row>
    <row r="136" spans="8:9" x14ac:dyDescent="0.35">
      <c r="H136">
        <v>677.16099999999994</v>
      </c>
      <c r="I136">
        <v>26.356999999999999</v>
      </c>
    </row>
    <row r="137" spans="8:9" x14ac:dyDescent="0.35">
      <c r="H137">
        <v>678.62300000000005</v>
      </c>
      <c r="I137">
        <v>21.852</v>
      </c>
    </row>
    <row r="138" spans="8:9" x14ac:dyDescent="0.35">
      <c r="H138">
        <v>678.245</v>
      </c>
      <c r="I138">
        <v>25.335999999999999</v>
      </c>
    </row>
    <row r="139" spans="8:9" x14ac:dyDescent="0.35">
      <c r="H139">
        <v>427.60599999999999</v>
      </c>
      <c r="I139">
        <v>18.891999999999999</v>
      </c>
    </row>
    <row r="140" spans="8:9" x14ac:dyDescent="0.35">
      <c r="H140">
        <v>383.53300000000002</v>
      </c>
      <c r="I140">
        <v>21.748999999999999</v>
      </c>
    </row>
    <row r="141" spans="8:9" x14ac:dyDescent="0.35">
      <c r="H141">
        <v>383.10899999999998</v>
      </c>
      <c r="I141">
        <v>33.47</v>
      </c>
    </row>
    <row r="142" spans="8:9" x14ac:dyDescent="0.35">
      <c r="H142">
        <v>298.93799999999999</v>
      </c>
      <c r="I142">
        <v>34.948</v>
      </c>
    </row>
    <row r="143" spans="8:9" x14ac:dyDescent="0.35">
      <c r="H143">
        <v>580.90300000000002</v>
      </c>
      <c r="I143">
        <v>59.98</v>
      </c>
    </row>
    <row r="144" spans="8:9" x14ac:dyDescent="0.35">
      <c r="H144">
        <v>580.32100000000003</v>
      </c>
      <c r="I144">
        <v>42.816000000000003</v>
      </c>
    </row>
    <row r="145" spans="8:9" x14ac:dyDescent="0.35">
      <c r="H145">
        <v>375.17500000000001</v>
      </c>
      <c r="I145">
        <v>48.625999999999998</v>
      </c>
    </row>
    <row r="146" spans="8:9" x14ac:dyDescent="0.35">
      <c r="H146">
        <v>459.96199999999999</v>
      </c>
      <c r="I146">
        <v>33.646000000000001</v>
      </c>
    </row>
    <row r="147" spans="8:9" x14ac:dyDescent="0.35">
      <c r="H147">
        <v>460.12099999999998</v>
      </c>
      <c r="I147">
        <v>49.433999999999997</v>
      </c>
    </row>
    <row r="148" spans="8:9" x14ac:dyDescent="0.35">
      <c r="H148">
        <v>461.09399999999999</v>
      </c>
      <c r="I148">
        <v>41.012</v>
      </c>
    </row>
    <row r="149" spans="8:9" x14ac:dyDescent="0.35">
      <c r="H149">
        <v>461.97899999999998</v>
      </c>
      <c r="I149">
        <v>54.280999999999999</v>
      </c>
    </row>
    <row r="150" spans="8:9" x14ac:dyDescent="0.35">
      <c r="H150">
        <v>312.25200000000001</v>
      </c>
      <c r="I150">
        <v>51.406999999999996</v>
      </c>
    </row>
    <row r="151" spans="8:9" x14ac:dyDescent="0.35">
      <c r="H151">
        <v>317.28899999999999</v>
      </c>
      <c r="I151">
        <v>44.210999999999999</v>
      </c>
    </row>
    <row r="152" spans="8:9" x14ac:dyDescent="0.35">
      <c r="H152">
        <v>242.976</v>
      </c>
      <c r="I152">
        <v>26.207999999999998</v>
      </c>
    </row>
    <row r="153" spans="8:9" x14ac:dyDescent="0.35">
      <c r="H153">
        <v>313.70600000000002</v>
      </c>
      <c r="I153">
        <v>43.564999999999998</v>
      </c>
    </row>
    <row r="154" spans="8:9" x14ac:dyDescent="0.35">
      <c r="H154">
        <v>402.55099999999999</v>
      </c>
      <c r="I154">
        <v>29.164000000000001</v>
      </c>
    </row>
    <row r="155" spans="8:9" x14ac:dyDescent="0.35">
      <c r="H155">
        <v>409.83100000000002</v>
      </c>
      <c r="I155">
        <v>21.164999999999999</v>
      </c>
    </row>
    <row r="156" spans="8:9" x14ac:dyDescent="0.35">
      <c r="H156">
        <v>545.10299999999995</v>
      </c>
      <c r="I156">
        <v>20.443999999999999</v>
      </c>
    </row>
    <row r="157" spans="8:9" x14ac:dyDescent="0.35">
      <c r="H157">
        <v>565.41999999999996</v>
      </c>
      <c r="I157">
        <v>26.175000000000001</v>
      </c>
    </row>
    <row r="158" spans="8:9" x14ac:dyDescent="0.35">
      <c r="H158">
        <v>651.36800000000005</v>
      </c>
      <c r="I158">
        <v>19.015999999999998</v>
      </c>
    </row>
    <row r="159" spans="8:9" x14ac:dyDescent="0.35">
      <c r="H159">
        <v>538.9</v>
      </c>
      <c r="I159">
        <v>23.08</v>
      </c>
    </row>
    <row r="160" spans="8:9" x14ac:dyDescent="0.35">
      <c r="H160">
        <v>550.85199999999998</v>
      </c>
      <c r="I160">
        <v>18</v>
      </c>
    </row>
    <row r="161" spans="8:9" x14ac:dyDescent="0.35">
      <c r="H161">
        <v>589.03700000000003</v>
      </c>
      <c r="I161">
        <v>18.021999999999998</v>
      </c>
    </row>
    <row r="162" spans="8:9" x14ac:dyDescent="0.35">
      <c r="H162">
        <v>430.63299999999998</v>
      </c>
      <c r="I162">
        <v>20.626999999999999</v>
      </c>
    </row>
    <row r="163" spans="8:9" x14ac:dyDescent="0.35">
      <c r="H163">
        <v>498.69400000000002</v>
      </c>
      <c r="I163">
        <v>21.684000000000001</v>
      </c>
    </row>
    <row r="164" spans="8:9" x14ac:dyDescent="0.35">
      <c r="H164">
        <v>523.55799999999999</v>
      </c>
      <c r="I164">
        <v>22.87</v>
      </c>
    </row>
    <row r="165" spans="8:9" x14ac:dyDescent="0.35">
      <c r="H165">
        <v>513.87099999999998</v>
      </c>
      <c r="I165">
        <v>32.359000000000002</v>
      </c>
    </row>
    <row r="166" spans="8:9" x14ac:dyDescent="0.35">
      <c r="H166">
        <v>355.904</v>
      </c>
      <c r="I166">
        <v>25.611999999999998</v>
      </c>
    </row>
    <row r="167" spans="8:9" x14ac:dyDescent="0.35">
      <c r="H167">
        <v>360.48500000000001</v>
      </c>
      <c r="I167">
        <v>24.710999999999999</v>
      </c>
    </row>
    <row r="168" spans="8:9" x14ac:dyDescent="0.35">
      <c r="H168">
        <v>422.38600000000002</v>
      </c>
      <c r="I168">
        <v>20.571000000000002</v>
      </c>
    </row>
    <row r="169" spans="8:9" x14ac:dyDescent="0.35">
      <c r="H169">
        <v>428.63499999999999</v>
      </c>
      <c r="I169">
        <v>26.838000000000001</v>
      </c>
    </row>
    <row r="170" spans="8:9" x14ac:dyDescent="0.35">
      <c r="H170">
        <v>495.649</v>
      </c>
      <c r="I170">
        <v>26.373999999999999</v>
      </c>
    </row>
    <row r="171" spans="8:9" x14ac:dyDescent="0.35">
      <c r="H171">
        <v>518.85599999999999</v>
      </c>
      <c r="I171">
        <v>23.120999999999999</v>
      </c>
    </row>
    <row r="172" spans="8:9" x14ac:dyDescent="0.35">
      <c r="H172">
        <v>540.00400000000002</v>
      </c>
      <c r="I172">
        <v>21.75</v>
      </c>
    </row>
    <row r="173" spans="8:9" x14ac:dyDescent="0.35">
      <c r="H173">
        <v>375.09699999999998</v>
      </c>
      <c r="I173">
        <v>21.073</v>
      </c>
    </row>
    <row r="174" spans="8:9" x14ac:dyDescent="0.35">
      <c r="H174">
        <v>405.00200000000001</v>
      </c>
      <c r="I174">
        <v>19.463000000000001</v>
      </c>
    </row>
    <row r="175" spans="8:9" x14ac:dyDescent="0.35">
      <c r="H175">
        <v>494.08300000000003</v>
      </c>
      <c r="I175">
        <v>23.184000000000001</v>
      </c>
    </row>
    <row r="176" spans="8:9" x14ac:dyDescent="0.35">
      <c r="H176">
        <v>388.16899999999998</v>
      </c>
      <c r="I176">
        <v>22.593</v>
      </c>
    </row>
    <row r="177" spans="8:9" x14ac:dyDescent="0.35">
      <c r="H177">
        <v>492.53199999999998</v>
      </c>
      <c r="I177">
        <v>25.762</v>
      </c>
    </row>
    <row r="178" spans="8:9" x14ac:dyDescent="0.35">
      <c r="H178">
        <v>400.02</v>
      </c>
      <c r="I178">
        <v>23.754999999999999</v>
      </c>
    </row>
    <row r="179" spans="8:9" x14ac:dyDescent="0.35">
      <c r="H179">
        <v>506.84699999999998</v>
      </c>
      <c r="I179">
        <v>29.125</v>
      </c>
    </row>
    <row r="180" spans="8:9" x14ac:dyDescent="0.35">
      <c r="H180">
        <v>499.82400000000001</v>
      </c>
      <c r="I180">
        <v>28.091000000000001</v>
      </c>
    </row>
    <row r="181" spans="8:9" x14ac:dyDescent="0.35">
      <c r="H181">
        <v>525.40800000000002</v>
      </c>
      <c r="I181">
        <v>28.463999999999999</v>
      </c>
    </row>
    <row r="182" spans="8:9" x14ac:dyDescent="0.35">
      <c r="H182">
        <v>550.13499999999999</v>
      </c>
      <c r="I182">
        <v>26.675999999999998</v>
      </c>
    </row>
    <row r="183" spans="8:9" x14ac:dyDescent="0.35">
      <c r="H183">
        <v>678.88199999999995</v>
      </c>
      <c r="I183">
        <v>26.696000000000002</v>
      </c>
    </row>
    <row r="184" spans="8:9" x14ac:dyDescent="0.35">
      <c r="H184">
        <v>549.923</v>
      </c>
      <c r="I184">
        <v>28.817</v>
      </c>
    </row>
    <row r="185" spans="8:9" x14ac:dyDescent="0.35">
      <c r="H185">
        <v>437.89299999999997</v>
      </c>
      <c r="I185">
        <v>29.884</v>
      </c>
    </row>
    <row r="186" spans="8:9" x14ac:dyDescent="0.35">
      <c r="H186">
        <v>448.96899999999999</v>
      </c>
      <c r="I186">
        <v>27.693000000000001</v>
      </c>
    </row>
    <row r="187" spans="8:9" x14ac:dyDescent="0.35">
      <c r="H187">
        <v>417.71</v>
      </c>
      <c r="I187">
        <v>25.911999999999999</v>
      </c>
    </row>
    <row r="188" spans="8:9" x14ac:dyDescent="0.35">
      <c r="H188">
        <v>467.73700000000002</v>
      </c>
      <c r="I188">
        <v>36.127000000000002</v>
      </c>
    </row>
    <row r="189" spans="8:9" x14ac:dyDescent="0.35">
      <c r="H189">
        <v>457.16899999999998</v>
      </c>
      <c r="I189">
        <v>29.635000000000002</v>
      </c>
    </row>
    <row r="190" spans="8:9" x14ac:dyDescent="0.35">
      <c r="H190">
        <v>560.65300000000002</v>
      </c>
      <c r="I190">
        <v>26.006</v>
      </c>
    </row>
    <row r="191" spans="8:9" x14ac:dyDescent="0.35">
      <c r="H191">
        <v>446.43200000000002</v>
      </c>
      <c r="I191">
        <v>25.350999999999999</v>
      </c>
    </row>
    <row r="192" spans="8:9" x14ac:dyDescent="0.35">
      <c r="H192">
        <v>589.25300000000004</v>
      </c>
      <c r="I192">
        <v>27.300999999999998</v>
      </c>
    </row>
    <row r="193" spans="8:9" x14ac:dyDescent="0.35">
      <c r="H193">
        <v>570.95399999999995</v>
      </c>
      <c r="I193">
        <v>27.428999999999998</v>
      </c>
    </row>
    <row r="194" spans="8:9" x14ac:dyDescent="0.35">
      <c r="H194">
        <v>589.23800000000006</v>
      </c>
      <c r="I194">
        <v>25.225000000000001</v>
      </c>
    </row>
    <row r="195" spans="8:9" x14ac:dyDescent="0.35">
      <c r="H195">
        <v>582.87800000000004</v>
      </c>
      <c r="I195">
        <v>24.364999999999998</v>
      </c>
    </row>
    <row r="196" spans="8:9" x14ac:dyDescent="0.35">
      <c r="H196">
        <v>582.822</v>
      </c>
      <c r="I196">
        <v>22.09</v>
      </c>
    </row>
    <row r="197" spans="8:9" x14ac:dyDescent="0.35">
      <c r="H197">
        <v>400.548</v>
      </c>
      <c r="I197">
        <v>24.634</v>
      </c>
    </row>
    <row r="198" spans="8:9" x14ac:dyDescent="0.35">
      <c r="H198">
        <v>449.34100000000001</v>
      </c>
      <c r="I198">
        <v>24.721</v>
      </c>
    </row>
    <row r="199" spans="8:9" x14ac:dyDescent="0.35">
      <c r="H199">
        <v>451.92200000000003</v>
      </c>
      <c r="I199">
        <v>21.776</v>
      </c>
    </row>
    <row r="200" spans="8:9" x14ac:dyDescent="0.35">
      <c r="H200">
        <v>411.91500000000002</v>
      </c>
      <c r="I200">
        <v>23.62</v>
      </c>
    </row>
    <row r="201" spans="8:9" x14ac:dyDescent="0.35">
      <c r="H201">
        <v>494.44400000000002</v>
      </c>
      <c r="I201">
        <v>23.998000000000001</v>
      </c>
    </row>
    <row r="202" spans="8:9" x14ac:dyDescent="0.35">
      <c r="H202">
        <v>226.35900000000001</v>
      </c>
      <c r="I202">
        <v>21.712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6438-9A50-495B-9BE0-AED978544270}">
  <dimension ref="A1:E5"/>
  <sheetViews>
    <sheetView workbookViewId="0">
      <selection activeCell="O21" sqref="O21"/>
    </sheetView>
  </sheetViews>
  <sheetFormatPr defaultRowHeight="14.5" x14ac:dyDescent="0.35"/>
  <cols>
    <col min="1" max="1" width="9.54296875" bestFit="1" customWidth="1"/>
  </cols>
  <sheetData>
    <row r="1" spans="1:5" x14ac:dyDescent="0.35">
      <c r="A1" t="s">
        <v>11</v>
      </c>
      <c r="B1" t="s">
        <v>12</v>
      </c>
      <c r="C1" t="s">
        <v>3</v>
      </c>
    </row>
    <row r="2" spans="1:5" x14ac:dyDescent="0.35">
      <c r="A2" t="s">
        <v>13</v>
      </c>
      <c r="B2">
        <v>72.390625</v>
      </c>
      <c r="C2">
        <v>13.94921875</v>
      </c>
    </row>
    <row r="3" spans="1:5" x14ac:dyDescent="0.35">
      <c r="A3" t="s">
        <v>14</v>
      </c>
      <c r="B3" s="2">
        <v>72.390625</v>
      </c>
      <c r="C3" s="2">
        <v>13.96484375</v>
      </c>
      <c r="E3" s="2"/>
    </row>
    <row r="4" spans="1:5" x14ac:dyDescent="0.35">
      <c r="A4" t="s">
        <v>15</v>
      </c>
      <c r="B4" s="2">
        <v>72.390625</v>
      </c>
      <c r="C4" s="2">
        <v>13.99609375</v>
      </c>
      <c r="E4" s="2"/>
    </row>
    <row r="5" spans="1:5" x14ac:dyDescent="0.35">
      <c r="A5" t="s">
        <v>16</v>
      </c>
      <c r="B5" s="2">
        <v>72.390625</v>
      </c>
      <c r="C5" s="2">
        <v>13.96484375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Warmup Read &amp; Create</vt:lpstr>
      <vt:lpstr>Create</vt:lpstr>
      <vt:lpstr>Read&amp;Readfirst</vt:lpstr>
      <vt:lpstr>Update</vt:lpstr>
      <vt:lpstr>Delete</vt:lpstr>
      <vt:lpstr>Mean Latency Comparison</vt:lpstr>
      <vt:lpstr>p95p99 Tail Latency</vt:lpstr>
      <vt:lpstr>Throughput comparison</vt:lpstr>
      <vt:lpstr>ReadDelete Latency Distribution</vt:lpstr>
      <vt:lpstr>Memory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Phanindra Sai Manepalli (Pranav Phanindra Manepalli)</dc:creator>
  <cp:lastModifiedBy>Pranav Phanindra Sai Manepalli (Pranav Phanindra Manep</cp:lastModifiedBy>
  <dcterms:created xsi:type="dcterms:W3CDTF">2015-06-05T18:17:20Z</dcterms:created>
  <dcterms:modified xsi:type="dcterms:W3CDTF">2025-11-18T12:54:07Z</dcterms:modified>
</cp:coreProperties>
</file>
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xonline-my.sharepoint.com/personal/pranavphanindrasai_manepalli_zelis_com/Documents/Documents/Tasks/RUST_VS_PYTHON/SEARCHING_PREPROCESSING/"/>
    </mc:Choice>
  </mc:AlternateContent>
  <xr:revisionPtr revIDLastSave="334" documentId="8_{1BCBB24A-E53C-4BC4-8F7F-E03EE9D8D991}" xr6:coauthVersionLast="47" xr6:coauthVersionMax="47" xr10:uidLastSave="{90FC9528-AAC2-4FE7-8194-45008A40F27A}"/>
  <bookViews>
    <workbookView xWindow="-110" yWindow="-110" windowWidth="19420" windowHeight="12220" activeTab="1" xr2:uid="{86A3A0FB-A33C-4990-B716-D2EA558F43A7}"/>
  </bookViews>
  <sheets>
    <sheet name="Time" sheetId="1" r:id="rId1"/>
    <sheet name="Memory" sheetId="2" r:id="rId2"/>
    <sheet name="Hyperfine Benchmark" sheetId="3" r:id="rId3"/>
    <sheet name="Time V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3" l="1"/>
  <c r="M13" i="3"/>
  <c r="M7" i="3"/>
  <c r="M5" i="3"/>
  <c r="M4" i="3"/>
  <c r="L8" i="3"/>
  <c r="K8" i="3"/>
  <c r="E35" i="4"/>
  <c r="E36" i="4"/>
  <c r="E37" i="4"/>
  <c r="E38" i="4"/>
  <c r="E39" i="4"/>
  <c r="E40" i="4"/>
  <c r="E41" i="4"/>
  <c r="E42" i="4"/>
  <c r="E43" i="4"/>
  <c r="E34" i="4"/>
  <c r="I3" i="4"/>
  <c r="I21" i="4"/>
  <c r="I22" i="4"/>
  <c r="I23" i="4"/>
  <c r="I24" i="4"/>
  <c r="I25" i="4"/>
  <c r="I26" i="4"/>
  <c r="I27" i="4"/>
  <c r="I28" i="4"/>
  <c r="I29" i="4"/>
  <c r="I20" i="4"/>
  <c r="D21" i="4"/>
  <c r="D22" i="4"/>
  <c r="D23" i="4"/>
  <c r="D24" i="4"/>
  <c r="D25" i="4"/>
  <c r="D26" i="4"/>
  <c r="D27" i="4"/>
  <c r="D28" i="4"/>
  <c r="D29" i="4"/>
  <c r="D20" i="4"/>
  <c r="C29" i="4"/>
  <c r="J29" i="4" s="1"/>
  <c r="C28" i="4"/>
  <c r="J28" i="4" s="1"/>
  <c r="C27" i="4"/>
  <c r="J27" i="4" s="1"/>
  <c r="C26" i="4"/>
  <c r="J26" i="4" s="1"/>
  <c r="C25" i="4"/>
  <c r="J25" i="4" s="1"/>
  <c r="C24" i="4"/>
  <c r="C23" i="4"/>
  <c r="J23" i="4" s="1"/>
  <c r="C22" i="4"/>
  <c r="C21" i="4"/>
  <c r="J21" i="4" s="1"/>
  <c r="C20" i="4"/>
  <c r="J20" i="4" s="1"/>
  <c r="C19" i="4"/>
  <c r="J19" i="4" s="1"/>
  <c r="J3" i="4"/>
  <c r="J7" i="4"/>
  <c r="J8" i="4"/>
  <c r="J9" i="4"/>
  <c r="J15" i="4"/>
  <c r="J2" i="4"/>
  <c r="I4" i="4"/>
  <c r="I5" i="4"/>
  <c r="I7" i="4"/>
  <c r="I9" i="4"/>
  <c r="I2" i="4"/>
  <c r="D15" i="4"/>
  <c r="I15" i="4" s="1"/>
  <c r="D14" i="4"/>
  <c r="J14" i="4" s="1"/>
  <c r="D13" i="4"/>
  <c r="J13" i="4" s="1"/>
  <c r="D12" i="4"/>
  <c r="J12" i="4" s="1"/>
  <c r="D11" i="4"/>
  <c r="J11" i="4" s="1"/>
  <c r="D10" i="4"/>
  <c r="I10" i="4" s="1"/>
  <c r="D9" i="4"/>
  <c r="D8" i="4"/>
  <c r="I8" i="4" s="1"/>
  <c r="D7" i="4"/>
  <c r="D6" i="4"/>
  <c r="I6" i="4" s="1"/>
  <c r="D5" i="4"/>
  <c r="J5" i="4" s="1"/>
  <c r="D4" i="4"/>
  <c r="J4" i="4" s="1"/>
  <c r="D3" i="4"/>
  <c r="D2" i="4"/>
  <c r="D33" i="1"/>
  <c r="D32" i="1"/>
  <c r="E32" i="1" s="1"/>
  <c r="D31" i="1"/>
  <c r="D30" i="1"/>
  <c r="D29" i="1"/>
  <c r="D28" i="1"/>
  <c r="D27" i="1"/>
  <c r="E27" i="1" s="1"/>
  <c r="D26" i="1"/>
  <c r="E26" i="1" s="1"/>
  <c r="D25" i="1"/>
  <c r="D24" i="1"/>
  <c r="E24" i="1" s="1"/>
  <c r="D23" i="1"/>
  <c r="D22" i="1"/>
  <c r="D21" i="1"/>
  <c r="D20" i="1"/>
  <c r="D14" i="1"/>
  <c r="D5" i="1"/>
  <c r="E5" i="1"/>
  <c r="E6" i="1"/>
  <c r="E7" i="1"/>
  <c r="E8" i="1"/>
  <c r="E9" i="1"/>
  <c r="E10" i="1"/>
  <c r="D4" i="1"/>
  <c r="E4" i="1" s="1"/>
  <c r="D6" i="1"/>
  <c r="D7" i="1"/>
  <c r="D8" i="1"/>
  <c r="D9" i="1"/>
  <c r="D10" i="1"/>
  <c r="D11" i="1"/>
  <c r="E11" i="1" s="1"/>
  <c r="D12" i="1"/>
  <c r="E12" i="1" s="1"/>
  <c r="D13" i="1"/>
  <c r="E13" i="1" s="1"/>
  <c r="D15" i="1"/>
  <c r="E15" i="1" s="1"/>
  <c r="D16" i="1"/>
  <c r="D3" i="1"/>
  <c r="I14" i="4" l="1"/>
  <c r="J24" i="4"/>
  <c r="I12" i="4"/>
  <c r="J10" i="4"/>
  <c r="I11" i="4"/>
  <c r="J6" i="4"/>
  <c r="J22" i="4"/>
  <c r="E29" i="1"/>
  <c r="E30" i="1"/>
  <c r="E22" i="1"/>
  <c r="E23" i="1"/>
  <c r="E28" i="1"/>
  <c r="E25" i="1"/>
  <c r="E21" i="1"/>
</calcChain>
</file>

<file path=xl/sharedStrings.xml><?xml version="1.0" encoding="utf-8"?>
<sst xmlns="http://schemas.openxmlformats.org/spreadsheetml/2006/main" count="317" uniqueCount="84">
  <si>
    <t>Step</t>
  </si>
  <si>
    <t>Rust Time (ms)</t>
  </si>
  <si>
    <t>Rust % of Total</t>
  </si>
  <si>
    <t>Python Time (s)</t>
  </si>
  <si>
    <t>Python % of Total</t>
  </si>
  <si>
    <t>Description</t>
  </si>
  <si>
    <t>Initial Process Info</t>
  </si>
  <si>
    <t>Process setup and initialization</t>
  </si>
  <si>
    <t>Load CSV</t>
  </si>
  <si>
    <t>Reading dataset into memory</t>
  </si>
  <si>
    <t>Type Casting (BENE_DEATH_DT)</t>
  </si>
  <si>
    <t>Data type conversion</t>
  </si>
  <si>
    <t>Get Column Types</t>
  </si>
  <si>
    <t>Detect numeric &amp; categorical columns</t>
  </si>
  <si>
    <t>Detect Missing Values</t>
  </si>
  <si>
    <t>Find most missing column</t>
  </si>
  <si>
    <t>Imputation</t>
  </si>
  <si>
    <t>Fill missing values (mean)</t>
  </si>
  <si>
    <t>Normalization</t>
  </si>
  <si>
    <t>Add Column</t>
  </si>
  <si>
    <t>Add derived column (square)</t>
  </si>
  <si>
    <t>Filter Rows</t>
  </si>
  <si>
    <t>Filter rows by condition</t>
  </si>
  <si>
    <t>Sort Ascending</t>
  </si>
  <si>
    <t>Sort ascending</t>
  </si>
  <si>
    <t>Sort Descending</t>
  </si>
  <si>
    <t>Sort descending</t>
  </si>
  <si>
    <t>Rename Column</t>
  </si>
  <si>
    <t>Rename column</t>
  </si>
  <si>
    <t>Drop Column</t>
  </si>
  <si>
    <t>Drop unnecessary column</t>
  </si>
  <si>
    <t>Sampling</t>
  </si>
  <si>
    <t>Random sample of data</t>
  </si>
  <si>
    <t>Random sampling</t>
  </si>
  <si>
    <t>Select column subset</t>
  </si>
  <si>
    <t>Select Column</t>
  </si>
  <si>
    <t>Apply filtering condition</t>
  </si>
  <si>
    <t>Add derived feature</t>
  </si>
  <si>
    <t>Minâ€“max normalization</t>
  </si>
  <si>
    <t>Fill missing values</t>
  </si>
  <si>
    <t>Check missing columns</t>
  </si>
  <si>
    <t>Detect column data types</t>
  </si>
  <si>
    <t>Load data into DataFrame</t>
  </si>
  <si>
    <t>Baseline usage</t>
  </si>
  <si>
    <t>Python Memory (MiB)</t>
  </si>
  <si>
    <t>Rust Î” from Prev (MB)</t>
  </si>
  <si>
    <t>Rust Memory (MB)</t>
  </si>
  <si>
    <t>RUST</t>
  </si>
  <si>
    <t>Python</t>
  </si>
  <si>
    <t>Python Difference from Prev (MiB)</t>
  </si>
  <si>
    <t xml:space="preserve">PYTHON  </t>
  </si>
  <si>
    <t>MEAN TIME</t>
  </si>
  <si>
    <t>STDDEV</t>
  </si>
  <si>
    <t xml:space="preserve">MIN </t>
  </si>
  <si>
    <t>MAX</t>
  </si>
  <si>
    <t>PYTHON</t>
  </si>
  <si>
    <t>2.3ms</t>
  </si>
  <si>
    <t>379.5ms</t>
  </si>
  <si>
    <t>3.8ms</t>
  </si>
  <si>
    <t>21.9ms</t>
  </si>
  <si>
    <t>0.0ms</t>
  </si>
  <si>
    <t>335.4ms</t>
  </si>
  <si>
    <t>17.1ms</t>
  </si>
  <si>
    <t>406.8ms</t>
  </si>
  <si>
    <t>Very fast; &lt;5 ms warning, first run slower (filesystem caching)</t>
  </si>
  <si>
    <t>NOTE</t>
  </si>
  <si>
    <t>Python script; slower by ~162×</t>
  </si>
  <si>
    <t xml:space="preserve">Bench Mark -1 </t>
  </si>
  <si>
    <t>max</t>
  </si>
  <si>
    <t>min</t>
  </si>
  <si>
    <t>stddev</t>
  </si>
  <si>
    <t>mean</t>
  </si>
  <si>
    <t>LANGUAGE</t>
  </si>
  <si>
    <t>Warmup 3</t>
  </si>
  <si>
    <t>min 20</t>
  </si>
  <si>
    <t>max  100</t>
  </si>
  <si>
    <t>Warmup 10</t>
  </si>
  <si>
    <t>max  200</t>
  </si>
  <si>
    <t>Rust (sec)</t>
  </si>
  <si>
    <t>Speedup</t>
  </si>
  <si>
    <t>Time difference</t>
  </si>
  <si>
    <t>Ratio</t>
  </si>
  <si>
    <t>Warmup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</si>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</sst>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Profiling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Memory!$C$22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Memory!$B$23:$B$36</c:f>
              <c:strCache>
                <c:ptCount val="14"/>
                <c:pt idx="0">
                  <c:v>Step</c:v>
                </c:pt>
                <c:pt idx="1">
                  <c:v>Initial Process Info</c:v>
                </c:pt>
                <c:pt idx="2">
                  <c:v>Load CSV</c:v>
                </c:pt>
                <c:pt idx="3">
                  <c:v>Get Column Types</c:v>
                </c:pt>
                <c:pt idx="4">
                  <c:v>Detect Missing Values</c:v>
                </c:pt>
                <c:pt idx="5">
                  <c:v>Imputation</c:v>
                </c:pt>
                <c:pt idx="6">
                  <c:v>Normalization</c:v>
                </c:pt>
                <c:pt idx="7">
                  <c:v>Add Column</c:v>
                </c:pt>
                <c:pt idx="8">
                  <c:v>Filter Rows</c:v>
                </c:pt>
                <c:pt idx="9">
                  <c:v>Sort Ascending</c:v>
                </c:pt>
                <c:pt idx="10">
                  <c:v>Sort Descending</c:v>
                </c:pt>
                <c:pt idx="11">
                  <c:v>Drop Column</c:v>
                </c:pt>
                <c:pt idx="12">
                  <c:v>Select Column</c:v>
                </c:pt>
                <c:pt idx="13">
                  <c:v>Sampling</c:v>
                </c:pt>
              </c:strCache>
            </c:strRef>
          </c:cat>
          <c:val>
            <c:numRef>
              <c:f>Memory!$C$23:$C$36</c:f>
              <c:numCache>
                <c:formatCode>General</c:formatCode>
                <c:ptCount val="14"/>
                <c:pt idx="0">
                  <c:v>0</c:v>
                </c:pt>
                <c:pt idx="1">
                  <c:v>29.02</c:v>
                </c:pt>
                <c:pt idx="2">
                  <c:v>78.75</c:v>
                </c:pt>
                <c:pt idx="3">
                  <c:v>82.51</c:v>
                </c:pt>
                <c:pt idx="4">
                  <c:v>82.54</c:v>
                </c:pt>
                <c:pt idx="5">
                  <c:v>83.45</c:v>
                </c:pt>
                <c:pt idx="6">
                  <c:v>84.45</c:v>
                </c:pt>
                <c:pt idx="7">
                  <c:v>85.42</c:v>
                </c:pt>
                <c:pt idx="8">
                  <c:v>76.95</c:v>
                </c:pt>
                <c:pt idx="9">
                  <c:v>102.49</c:v>
                </c:pt>
                <c:pt idx="10">
                  <c:v>102.51</c:v>
                </c:pt>
                <c:pt idx="11">
                  <c:v>102.54</c:v>
                </c:pt>
                <c:pt idx="12">
                  <c:v>102.51</c:v>
                </c:pt>
                <c:pt idx="13">
                  <c:v>103.47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E-4FE4-B844-BC9CCE1BB229}"/>
            </c:ext>
          </c:extLst>
        </c:ser>
        <c:ser>
          <c:idx val="2"/>
          <c:order val="1"/>
          <c:tx>
            <c:strRef>
              <c:f>Memory!$E$22</c:f>
              <c:strCache>
                <c:ptCount val="1"/>
                <c:pt idx="0">
                  <c:v>PYTHON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Memory!$B$23:$B$36</c:f>
              <c:strCache>
                <c:ptCount val="14"/>
                <c:pt idx="0">
                  <c:v>Step</c:v>
                </c:pt>
                <c:pt idx="1">
                  <c:v>Initial Process Info</c:v>
                </c:pt>
                <c:pt idx="2">
                  <c:v>Load CSV</c:v>
                </c:pt>
                <c:pt idx="3">
                  <c:v>Get Column Types</c:v>
                </c:pt>
                <c:pt idx="4">
                  <c:v>Detect Missing Values</c:v>
                </c:pt>
                <c:pt idx="5">
                  <c:v>Imputation</c:v>
                </c:pt>
                <c:pt idx="6">
                  <c:v>Normalization</c:v>
                </c:pt>
                <c:pt idx="7">
                  <c:v>Add Column</c:v>
                </c:pt>
                <c:pt idx="8">
                  <c:v>Filter Rows</c:v>
                </c:pt>
                <c:pt idx="9">
                  <c:v>Sort Ascending</c:v>
                </c:pt>
                <c:pt idx="10">
                  <c:v>Sort Descending</c:v>
                </c:pt>
                <c:pt idx="11">
                  <c:v>Drop Column</c:v>
                </c:pt>
                <c:pt idx="12">
                  <c:v>Select Column</c:v>
                </c:pt>
                <c:pt idx="13">
                  <c:v>Sampling</c:v>
                </c:pt>
              </c:strCache>
            </c:strRef>
          </c:cat>
          <c:val>
            <c:numRef>
              <c:f>Memory!$E$23:$E$36</c:f>
              <c:numCache>
                <c:formatCode>General</c:formatCode>
                <c:ptCount val="14"/>
                <c:pt idx="0">
                  <c:v>0</c:v>
                </c:pt>
                <c:pt idx="1">
                  <c:v>88.65</c:v>
                </c:pt>
                <c:pt idx="2">
                  <c:v>142.29</c:v>
                </c:pt>
                <c:pt idx="3">
                  <c:v>127.31</c:v>
                </c:pt>
                <c:pt idx="4">
                  <c:v>129.21</c:v>
                </c:pt>
                <c:pt idx="5">
                  <c:v>129.44</c:v>
                </c:pt>
                <c:pt idx="6">
                  <c:v>129.47</c:v>
                </c:pt>
                <c:pt idx="7">
                  <c:v>129.81</c:v>
                </c:pt>
                <c:pt idx="8">
                  <c:v>129.81</c:v>
                </c:pt>
                <c:pt idx="9">
                  <c:v>126.31</c:v>
                </c:pt>
                <c:pt idx="10">
                  <c:v>127.09</c:v>
                </c:pt>
                <c:pt idx="11">
                  <c:v>148.30000000000001</c:v>
                </c:pt>
                <c:pt idx="12">
                  <c:v>148.30000000000001</c:v>
                </c:pt>
                <c:pt idx="13">
                  <c:v>148.41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DE-4FE4-B844-BC9CCE1BB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538927"/>
        <c:axId val="986537967"/>
      </c:lineChart>
      <c:catAx>
        <c:axId val="98653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Preprocessing Tasks in pipeline</a:t>
                </a:r>
                <a:r>
                  <a:rPr lang="en-US" baseline="0"/>
                  <a:t> in order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37967"/>
        <c:crosses val="autoZero"/>
        <c:auto val="1"/>
        <c:lblAlgn val="ctr"/>
        <c:lblOffset val="100"/>
        <c:noMultiLvlLbl val="0"/>
      </c:catAx>
      <c:valAx>
        <c:axId val="98653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Usage(MB)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3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Increment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Memory!$D$39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Memory!$C$40:$C$50</c:f>
              <c:strCache>
                <c:ptCount val="11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Select Column</c:v>
                </c:pt>
                <c:pt idx="10">
                  <c:v>Sampling</c:v>
                </c:pt>
              </c:strCache>
            </c:strRef>
          </c:cat>
          <c:val>
            <c:numRef>
              <c:f>Memory!$D$40:$D$50</c:f>
              <c:numCache>
                <c:formatCode>General</c:formatCode>
                <c:ptCount val="11"/>
                <c:pt idx="0">
                  <c:v>3.76</c:v>
                </c:pt>
                <c:pt idx="1">
                  <c:v>0.03</c:v>
                </c:pt>
                <c:pt idx="2">
                  <c:v>0.91</c:v>
                </c:pt>
                <c:pt idx="3">
                  <c:v>1</c:v>
                </c:pt>
                <c:pt idx="4">
                  <c:v>0.97</c:v>
                </c:pt>
                <c:pt idx="5">
                  <c:v>-8.4700000000000006</c:v>
                </c:pt>
                <c:pt idx="6">
                  <c:v>25.54</c:v>
                </c:pt>
                <c:pt idx="7">
                  <c:v>0.02</c:v>
                </c:pt>
                <c:pt idx="8">
                  <c:v>0.03</c:v>
                </c:pt>
                <c:pt idx="9">
                  <c:v>-0.03</c:v>
                </c:pt>
                <c:pt idx="10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CD6-B70F-F56AB93AD7A9}"/>
            </c:ext>
          </c:extLst>
        </c:ser>
        <c:ser>
          <c:idx val="1"/>
          <c:order val="1"/>
          <c:tx>
            <c:strRef>
              <c:f>Memory!$E$39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Memory!$C$40:$C$50</c:f>
              <c:strCache>
                <c:ptCount val="11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Select Column</c:v>
                </c:pt>
                <c:pt idx="10">
                  <c:v>Sampling</c:v>
                </c:pt>
              </c:strCache>
            </c:strRef>
          </c:cat>
          <c:val>
            <c:numRef>
              <c:f>Memory!$E$40:$E$50</c:f>
              <c:numCache>
                <c:formatCode>General</c:formatCode>
                <c:ptCount val="11"/>
                <c:pt idx="0">
                  <c:v>1.82</c:v>
                </c:pt>
                <c:pt idx="1">
                  <c:v>1.9</c:v>
                </c:pt>
                <c:pt idx="2">
                  <c:v>0.23</c:v>
                </c:pt>
                <c:pt idx="3">
                  <c:v>0.03</c:v>
                </c:pt>
                <c:pt idx="4">
                  <c:v>0.34</c:v>
                </c:pt>
                <c:pt idx="5">
                  <c:v>0</c:v>
                </c:pt>
                <c:pt idx="6">
                  <c:v>-3.49</c:v>
                </c:pt>
                <c:pt idx="7">
                  <c:v>0.78</c:v>
                </c:pt>
                <c:pt idx="8">
                  <c:v>20.55</c:v>
                </c:pt>
                <c:pt idx="9">
                  <c:v>0</c:v>
                </c:pt>
                <c:pt idx="1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9-4CD6-B70F-F56AB93AD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6905039"/>
        <c:axId val="1496908879"/>
        <c:axId val="0"/>
      </c:bar3DChart>
      <c:catAx>
        <c:axId val="149690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Preprocessing Tasks in Order in Pipeline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08879"/>
        <c:crosses val="autoZero"/>
        <c:auto val="1"/>
        <c:lblAlgn val="ctr"/>
        <c:lblOffset val="100"/>
        <c:noMultiLvlLbl val="0"/>
      </c:catAx>
      <c:valAx>
        <c:axId val="14969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Difference After each Task(MB)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Benchmarking : Rust</a:t>
            </a:r>
            <a:r>
              <a:rPr lang="en-US" baseline="0"/>
              <a:t> VS Python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'Hyperfine Benchmark'!$O$4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'Hyperfine Benchmark'!$P$3</c:f>
              <c:strCache>
                <c:ptCount val="1"/>
                <c:pt idx="0">
                  <c:v>MEAN TIME</c:v>
                </c:pt>
              </c:strCache>
            </c:strRef>
          </c:cat>
          <c:val>
            <c:numRef>
              <c:f>'Hyperfine Benchmark'!$P$4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8-4FCC-AABF-57BEAD936359}"/>
            </c:ext>
          </c:extLst>
        </c:ser>
        <c:ser>
          <c:idx val="1"/>
          <c:order val="1"/>
          <c:tx>
            <c:strRef>
              <c:f>'Hyperfine Benchmark'!$O$5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'Hyperfine Benchmark'!$P$3</c:f>
              <c:strCache>
                <c:ptCount val="1"/>
                <c:pt idx="0">
                  <c:v>MEAN TIME</c:v>
                </c:pt>
              </c:strCache>
            </c:strRef>
          </c:cat>
          <c:val>
            <c:numRef>
              <c:f>'Hyperfine Benchmark'!$P$5</c:f>
              <c:numCache>
                <c:formatCode>General</c:formatCode>
                <c:ptCount val="1"/>
                <c:pt idx="0">
                  <c:v>379.5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8-4FCC-AABF-57BEAD936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4142943"/>
        <c:axId val="1784148223"/>
      </c:barChart>
      <c:catAx>
        <c:axId val="178414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48223"/>
        <c:crosses val="autoZero"/>
        <c:auto val="1"/>
        <c:lblAlgn val="ctr"/>
        <c:lblOffset val="100"/>
        <c:noMultiLvlLbl val="0"/>
      </c:catAx>
      <c:valAx>
        <c:axId val="17841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Python/Rust Speedup</a:t>
            </a:r>
            <a:r>
              <a:rPr lang="en-US" baseline="0"/>
              <a:t> Factor By Operation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'Time VIS'!$B$64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VIS'!$A$65:$A$75</c:f>
              <c:strCache>
                <c:ptCount val="11"/>
                <c:pt idx="0">
                  <c:v>Load CSV</c:v>
                </c:pt>
                <c:pt idx="1">
                  <c:v>Get Column Types</c:v>
                </c:pt>
                <c:pt idx="2">
                  <c:v>Detect Missing Values</c:v>
                </c:pt>
                <c:pt idx="3">
                  <c:v>Imputation</c:v>
                </c:pt>
                <c:pt idx="4">
                  <c:v>Normalization</c:v>
                </c:pt>
                <c:pt idx="5">
                  <c:v>Add Column</c:v>
                </c:pt>
                <c:pt idx="6">
                  <c:v>Filter Rows</c:v>
                </c:pt>
                <c:pt idx="7">
                  <c:v>Sort Ascending</c:v>
                </c:pt>
                <c:pt idx="8">
                  <c:v>Sort Descending</c:v>
                </c:pt>
                <c:pt idx="9">
                  <c:v>Drop Column</c:v>
                </c:pt>
                <c:pt idx="10">
                  <c:v>Sampling</c:v>
                </c:pt>
              </c:strCache>
            </c:strRef>
          </c:cat>
          <c:val>
            <c:numRef>
              <c:f>'Time VIS'!$B$65:$B$75</c:f>
              <c:numCache>
                <c:formatCode>General</c:formatCode>
                <c:ptCount val="11"/>
                <c:pt idx="0">
                  <c:v>0.38322639893768851</c:v>
                </c:pt>
                <c:pt idx="1">
                  <c:v>1.7646990077950613E-2</c:v>
                </c:pt>
                <c:pt idx="2">
                  <c:v>3.0088434829365397E-2</c:v>
                </c:pt>
                <c:pt idx="3">
                  <c:v>7.2634625484696439E-3</c:v>
                </c:pt>
                <c:pt idx="4">
                  <c:v>3.3677349266702876E-3</c:v>
                </c:pt>
                <c:pt idx="5">
                  <c:v>1.5865125281605973E-3</c:v>
                </c:pt>
                <c:pt idx="6">
                  <c:v>9.024904680782023E-3</c:v>
                </c:pt>
                <c:pt idx="7">
                  <c:v>2.4171871676367647E-2</c:v>
                </c:pt>
                <c:pt idx="8">
                  <c:v>2.3747779582609027E-2</c:v>
                </c:pt>
                <c:pt idx="9">
                  <c:v>7.7664992955965764E-3</c:v>
                </c:pt>
                <c:pt idx="10">
                  <c:v>1.3873955117755193E-3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7-4994-BF32-99B83F82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287999"/>
        <c:axId val="1453289439"/>
      </c:barChart>
      <c:catAx>
        <c:axId val="14532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89439"/>
        <c:crosses val="autoZero"/>
        <c:auto val="1"/>
        <c:lblAlgn val="ctr"/>
        <c:lblOffset val="100"/>
        <c:noMultiLvlLbl val="0"/>
      </c:catAx>
      <c:valAx>
        <c:axId val="14532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8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Comparison</a:t>
            </a:r>
            <a:r>
              <a:rPr lang="en-US" baseline="0"/>
              <a:t> : Rust VS Python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'Time VIS'!$B$32</c:f>
              <c:strCache>
                <c:ptCount val="1"/>
                <c:pt idx="0">
                  <c:v>Rust (sec)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VIS'!$A$33:$A$43</c:f>
              <c:strCache>
                <c:ptCount val="11"/>
                <c:pt idx="0">
                  <c:v>Load CSV</c:v>
                </c:pt>
                <c:pt idx="1">
                  <c:v>Get Column Types</c:v>
                </c:pt>
                <c:pt idx="2">
                  <c:v>Detect Missing Values</c:v>
                </c:pt>
                <c:pt idx="3">
                  <c:v>Imputation</c:v>
                </c:pt>
                <c:pt idx="4">
                  <c:v>Normalization</c:v>
                </c:pt>
                <c:pt idx="5">
                  <c:v>Add Column</c:v>
                </c:pt>
                <c:pt idx="6">
                  <c:v>Filter Rows</c:v>
                </c:pt>
                <c:pt idx="7">
                  <c:v>Sort Ascending</c:v>
                </c:pt>
                <c:pt idx="8">
                  <c:v>Sort Descending</c:v>
                </c:pt>
                <c:pt idx="9">
                  <c:v>Drop Column</c:v>
                </c:pt>
                <c:pt idx="10">
                  <c:v>Sampling</c:v>
                </c:pt>
              </c:strCache>
            </c:strRef>
          </c:cat>
          <c:val>
            <c:numRef>
              <c:f>'Time VIS'!$B$33:$B$43</c:f>
              <c:numCache>
                <c:formatCode>General</c:formatCode>
                <c:ptCount val="11"/>
                <c:pt idx="0">
                  <c:v>0.80579000000000001</c:v>
                </c:pt>
                <c:pt idx="1">
                  <c:v>4.9879999999999924E-2</c:v>
                </c:pt>
                <c:pt idx="2">
                  <c:v>1.8420000000000103E-2</c:v>
                </c:pt>
                <c:pt idx="3">
                  <c:v>2.079999999999993E-2</c:v>
                </c:pt>
                <c:pt idx="4">
                  <c:v>2.5610000000000022E-2</c:v>
                </c:pt>
                <c:pt idx="5">
                  <c:v>2.4970000000000048E-2</c:v>
                </c:pt>
                <c:pt idx="6">
                  <c:v>4.0689999999999893E-2</c:v>
                </c:pt>
                <c:pt idx="7">
                  <c:v>4.8100000000000032E-2</c:v>
                </c:pt>
                <c:pt idx="8">
                  <c:v>1.8469999999999986E-2</c:v>
                </c:pt>
                <c:pt idx="9">
                  <c:v>5.4589999999999916E-2</c:v>
                </c:pt>
                <c:pt idx="10">
                  <c:v>4.5920000000000183E-2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5-42E4-8699-6E43A1BE73D2}"/>
            </c:ext>
          </c:extLst>
        </c:ser>
        <c:ser>
          <c:idx val="1"/>
          <c:order val="1"/>
          <c:tx>
            <c:strRef>
              <c:f>'Time VIS'!$D$32</c:f>
              <c:strCache>
                <c:ptCount val="1"/>
                <c:pt idx="0">
                  <c:v>Python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VIS'!$A$33:$A$43</c:f>
              <c:strCache>
                <c:ptCount val="11"/>
                <c:pt idx="0">
                  <c:v>Load CSV</c:v>
                </c:pt>
                <c:pt idx="1">
                  <c:v>Get Column Types</c:v>
                </c:pt>
                <c:pt idx="2">
                  <c:v>Detect Missing Values</c:v>
                </c:pt>
                <c:pt idx="3">
                  <c:v>Imputation</c:v>
                </c:pt>
                <c:pt idx="4">
                  <c:v>Normalization</c:v>
                </c:pt>
                <c:pt idx="5">
                  <c:v>Add Column</c:v>
                </c:pt>
                <c:pt idx="6">
                  <c:v>Filter Rows</c:v>
                </c:pt>
                <c:pt idx="7">
                  <c:v>Sort Ascending</c:v>
                </c:pt>
                <c:pt idx="8">
                  <c:v>Sort Descending</c:v>
                </c:pt>
                <c:pt idx="9">
                  <c:v>Drop Column</c:v>
                </c:pt>
                <c:pt idx="10">
                  <c:v>Sampling</c:v>
                </c:pt>
              </c:strCache>
            </c:strRef>
          </c:cat>
          <c:val>
            <c:numRef>
              <c:f>'Time VIS'!$D$33:$D$43</c:f>
              <c:numCache>
                <c:formatCode>General</c:formatCode>
                <c:ptCount val="11"/>
                <c:pt idx="0">
                  <c:v>0.30880000000000002</c:v>
                </c:pt>
                <c:pt idx="1">
                  <c:v>1.5100000000000001E-2</c:v>
                </c:pt>
                <c:pt idx="2">
                  <c:v>2.63E-2</c:v>
                </c:pt>
                <c:pt idx="3">
                  <c:v>6.4999999999999997E-3</c:v>
                </c:pt>
                <c:pt idx="4">
                  <c:v>3.0999999999999999E-3</c:v>
                </c:pt>
                <c:pt idx="5">
                  <c:v>1.5E-3</c:v>
                </c:pt>
                <c:pt idx="6">
                  <c:v>8.8999999999999999E-3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8.6E-3</c:v>
                </c:pt>
                <c:pt idx="10">
                  <c:v>1.6000000000000001E-3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5-42E4-8699-6E43A1BE7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024239"/>
        <c:axId val="740022799"/>
      </c:barChart>
      <c:catAx>
        <c:axId val="740024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Preprocessing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2799"/>
        <c:crosses val="autoZero"/>
        <c:auto val="1"/>
        <c:lblAlgn val="ctr"/>
        <c:lblOffset val="100"/>
        <c:noMultiLvlLbl val="0"/>
      </c:catAx>
      <c:valAx>
        <c:axId val="740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Rust Execution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D4-4C96-81FA-9E9F40ACC9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3D4-4C96-81FA-9E9F40ACC9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3D4-4C96-81FA-9E9F40ACC9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3D4-4C96-81FA-9E9F40ACC9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3D4-4C96-81FA-9E9F40ACC9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3D4-4C96-81FA-9E9F40ACC9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83D4-4C96-81FA-9E9F40ACC98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83D4-4C96-81FA-9E9F40ACC98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83D4-4C96-81FA-9E9F40ACC9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83D4-4C96-81FA-9E9F40ACC98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'Time VIS'!$A$34:$A$43</c:f>
              <c:strCache>
                <c:ptCount val="10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Sampling</c:v>
                </c:pt>
              </c:strCache>
            </c:strRef>
          </c:cat>
          <c:val>
            <c:numRef>
              <c:f>'Time VIS'!$B$34:$B$43</c:f>
              <c:numCache>
                <c:formatCode>General</c:formatCode>
                <c:ptCount val="10"/>
                <c:pt idx="0">
                  <c:v>4.9879999999999924E-2</c:v>
                </c:pt>
                <c:pt idx="1">
                  <c:v>1.8420000000000103E-2</c:v>
                </c:pt>
                <c:pt idx="2">
                  <c:v>2.079999999999993E-2</c:v>
                </c:pt>
                <c:pt idx="3">
                  <c:v>2.5610000000000022E-2</c:v>
                </c:pt>
                <c:pt idx="4">
                  <c:v>2.4970000000000048E-2</c:v>
                </c:pt>
                <c:pt idx="5">
                  <c:v>4.0689999999999893E-2</c:v>
                </c:pt>
                <c:pt idx="6">
                  <c:v>4.8100000000000032E-2</c:v>
                </c:pt>
                <c:pt idx="7">
                  <c:v>1.8469999999999986E-2</c:v>
                </c:pt>
                <c:pt idx="8">
                  <c:v>5.4589999999999916E-2</c:v>
                </c:pt>
                <c:pt idx="9">
                  <c:v>4.5920000000000183E-2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F-4CBD-9B43-1E3E2072D9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 </a:t>
            </a: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Execution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10E-4248-81A1-90C8F7812E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10E-4248-81A1-90C8F7812E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10E-4248-81A1-90C8F7812E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10E-4248-81A1-90C8F7812E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10E-4248-81A1-90C8F7812E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10E-4248-81A1-90C8F7812E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10E-4248-81A1-90C8F7812E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10E-4248-81A1-90C8F7812E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10E-4248-81A1-90C8F7812E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10E-4248-81A1-90C8F7812E0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'Time VIS'!$A$34:$A$43</c:f>
              <c:strCache>
                <c:ptCount val="10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Sampling</c:v>
                </c:pt>
              </c:strCache>
            </c:strRef>
          </c:cat>
          <c:val>
            <c:numRef>
              <c:f>'Time VIS'!$D$34:$D$43</c:f>
              <c:numCache>
                <c:formatCode>General</c:formatCode>
                <c:ptCount val="10"/>
                <c:pt idx="0">
                  <c:v>1.5100000000000001E-2</c:v>
                </c:pt>
                <c:pt idx="1">
                  <c:v>2.63E-2</c:v>
                </c:pt>
                <c:pt idx="2">
                  <c:v>6.4999999999999997E-3</c:v>
                </c:pt>
                <c:pt idx="3">
                  <c:v>3.0999999999999999E-3</c:v>
                </c:pt>
                <c:pt idx="4">
                  <c:v>1.5E-3</c:v>
                </c:pt>
                <c:pt idx="5">
                  <c:v>8.8999999999999999E-3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8.6E-3</c:v>
                </c:pt>
                <c:pt idx="9">
                  <c:v>1.6000000000000001E-3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2-464C-9626-EFC26415E6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82549</xdr:colOff>
      <xdr:row>7</xdr:row>
      <xdr:rowOff>57149</xdr:rowOff>
    </xdr:from>
    <xdr:to>
      <xdr:col>18</xdr:col>
      <xdr:colOff>561974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D392C-AF4B-8E43-46CC-AEC9D459D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1677986</xdr:colOff>
      <xdr:row>36</xdr:row>
      <xdr:rowOff>133350</xdr:rowOff>
    </xdr:from>
    <xdr:to>
      <xdr:col>12</xdr:col>
      <xdr:colOff>126999</xdr:colOff>
      <xdr:row>58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0294D3-232C-2293-ACEC-19A0A4170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227012</xdr:colOff>
      <xdr:row>15</xdr:row>
      <xdr:rowOff>85725</xdr:rowOff>
    </xdr:from>
    <xdr:to>
      <xdr:col>18</xdr:col>
      <xdr:colOff>525462</xdr:colOff>
      <xdr:row>30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8136E-83B3-A897-8EB2-3D78834EF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236536</xdr:colOff>
      <xdr:row>70</xdr:row>
      <xdr:rowOff>120650</xdr:rowOff>
    </xdr:from>
    <xdr:to>
      <xdr:col>8</xdr:col>
      <xdr:colOff>247649</xdr:colOff>
      <xdr:row>90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F74047-2817-2650-FEBB-E001F1ED7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525461</xdr:colOff>
      <xdr:row>30</xdr:row>
      <xdr:rowOff>104775</xdr:rowOff>
    </xdr:from>
    <xdr:to>
      <xdr:col>9</xdr:col>
      <xdr:colOff>923924</xdr:colOff>
      <xdr:row>47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56BE8B-017D-07D2-A5AC-6B1099243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74612</xdr:colOff>
      <xdr:row>49</xdr:row>
      <xdr:rowOff>44450</xdr:rowOff>
    </xdr:from>
    <xdr:to>
      <xdr:col>9</xdr:col>
      <xdr:colOff>617537</xdr:colOff>
      <xdr:row>64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D6E8851-4441-9D72-106F-717114DB5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887412</xdr:colOff>
      <xdr:row>49</xdr:row>
      <xdr:rowOff>9525</xdr:rowOff>
    </xdr:from>
    <xdr:to>
      <xdr:col>15</xdr:col>
      <xdr:colOff>68262</xdr:colOff>
      <xdr:row>64</xdr:row>
      <xdr:rowOff>34925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09CFAA-FC69-60FB-6B52-6944C84DB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4D19-E30D-4419-98C2-3A36F74C4A34}">
  <dimension ref="B1:J34"/>
  <sheetViews>
    <sheetView topLeftCell="A10" workbookViewId="0">
      <selection activeCell="A36" sqref="A36:J50"/>
    </sheetView>
  </sheetViews>
  <sheetFormatPr defaultRowHeight="14.5" x14ac:dyDescent="0.35"/>
  <cols>
    <col min="2" max="2" width="26.81640625" bestFit="1" customWidth="1"/>
    <col min="3" max="3" width="12.90625" bestFit="1" customWidth="1"/>
    <col min="4" max="5" width="12.90625" customWidth="1"/>
    <col min="6" max="6" width="12.6328125" bestFit="1" customWidth="1"/>
    <col min="7" max="7" width="12.6328125" customWidth="1"/>
    <col min="8" max="8" width="13.26953125" bestFit="1" customWidth="1"/>
    <col min="9" max="9" width="33.54296875" bestFit="1" customWidth="1"/>
    <col min="10" max="10" width="32.08984375" bestFit="1" customWidth="1"/>
  </cols>
  <sheetData>
    <row r="1" spans="2:10" x14ac:dyDescent="0.35">
      <c r="C1" s="6" t="s">
        <v>47</v>
      </c>
      <c r="D1" s="6"/>
      <c r="E1" s="6"/>
      <c r="F1" s="6"/>
      <c r="G1" s="1"/>
      <c r="H1" s="6" t="s">
        <v>48</v>
      </c>
      <c r="I1" s="6"/>
    </row>
    <row r="2" spans="2:10" x14ac:dyDescent="0.35">
      <c r="B2" s="1" t="s">
        <v>0</v>
      </c>
      <c r="C2" s="1" t="s">
        <v>1</v>
      </c>
      <c r="D2" s="1" t="s">
        <v>78</v>
      </c>
      <c r="E2" s="1"/>
      <c r="F2" s="1" t="s">
        <v>2</v>
      </c>
      <c r="G2" s="1"/>
      <c r="H2" s="1" t="s">
        <v>3</v>
      </c>
      <c r="I2" s="1" t="s">
        <v>4</v>
      </c>
      <c r="J2" s="1" t="s">
        <v>5</v>
      </c>
    </row>
    <row r="3" spans="2:10" x14ac:dyDescent="0.35">
      <c r="B3" s="2" t="s">
        <v>6</v>
      </c>
      <c r="C3" s="1">
        <v>453.64</v>
      </c>
      <c r="D3" s="1">
        <f t="shared" ref="D3:D16" si="0">C3/1000</f>
        <v>0.45363999999999999</v>
      </c>
      <c r="E3" s="1"/>
      <c r="F3" s="1">
        <v>39.299999999999997</v>
      </c>
      <c r="G3" s="1"/>
      <c r="H3" s="1"/>
      <c r="I3" s="1"/>
      <c r="J3" s="2" t="s">
        <v>7</v>
      </c>
    </row>
    <row r="4" spans="2:10" x14ac:dyDescent="0.35">
      <c r="B4" s="2" t="s">
        <v>8</v>
      </c>
      <c r="C4" s="1">
        <v>805.79</v>
      </c>
      <c r="D4" s="1">
        <f t="shared" si="0"/>
        <v>0.80579000000000001</v>
      </c>
      <c r="E4" s="1">
        <f t="shared" ref="E4:E13" si="1">D4-D3</f>
        <v>0.35215000000000002</v>
      </c>
      <c r="F4" s="1">
        <v>69.900000000000006</v>
      </c>
      <c r="G4" s="1"/>
      <c r="H4" s="1">
        <v>0.30880000000000002</v>
      </c>
      <c r="I4" s="1">
        <v>62.8</v>
      </c>
      <c r="J4" s="2" t="s">
        <v>9</v>
      </c>
    </row>
    <row r="5" spans="2:10" x14ac:dyDescent="0.35">
      <c r="B5" s="2" t="s">
        <v>10</v>
      </c>
      <c r="C5" s="1">
        <v>837.45</v>
      </c>
      <c r="D5" s="1">
        <f t="shared" si="0"/>
        <v>0.83745000000000003</v>
      </c>
      <c r="E5" s="1">
        <f t="shared" si="1"/>
        <v>3.1660000000000021E-2</v>
      </c>
      <c r="F5" s="1">
        <v>72.599999999999994</v>
      </c>
      <c r="G5" s="1"/>
      <c r="H5" s="1"/>
      <c r="I5" s="1"/>
      <c r="J5" s="2" t="s">
        <v>11</v>
      </c>
    </row>
    <row r="6" spans="2:10" x14ac:dyDescent="0.35">
      <c r="B6" s="2" t="s">
        <v>12</v>
      </c>
      <c r="C6" s="1">
        <v>855.67</v>
      </c>
      <c r="D6" s="1">
        <f t="shared" si="0"/>
        <v>0.85566999999999993</v>
      </c>
      <c r="E6" s="1">
        <f t="shared" si="1"/>
        <v>1.8219999999999903E-2</v>
      </c>
      <c r="F6" s="1">
        <v>74.2</v>
      </c>
      <c r="G6" s="1"/>
      <c r="H6" s="1">
        <v>1.5100000000000001E-2</v>
      </c>
      <c r="I6" s="1">
        <v>3.1</v>
      </c>
      <c r="J6" s="2" t="s">
        <v>13</v>
      </c>
    </row>
    <row r="7" spans="2:10" x14ac:dyDescent="0.35">
      <c r="B7" s="2" t="s">
        <v>14</v>
      </c>
      <c r="C7" s="1">
        <v>874.09</v>
      </c>
      <c r="D7" s="1">
        <f t="shared" si="0"/>
        <v>0.87409000000000003</v>
      </c>
      <c r="E7" s="1">
        <f t="shared" si="1"/>
        <v>1.8420000000000103E-2</v>
      </c>
      <c r="F7" s="1">
        <v>75.8</v>
      </c>
      <c r="G7" s="1"/>
      <c r="H7" s="1">
        <v>2.63E-2</v>
      </c>
      <c r="I7" s="1">
        <v>5.3</v>
      </c>
      <c r="J7" s="2" t="s">
        <v>15</v>
      </c>
    </row>
    <row r="8" spans="2:10" x14ac:dyDescent="0.35">
      <c r="B8" s="2" t="s">
        <v>16</v>
      </c>
      <c r="C8" s="1">
        <v>894.89</v>
      </c>
      <c r="D8" s="1">
        <f t="shared" si="0"/>
        <v>0.89488999999999996</v>
      </c>
      <c r="E8" s="1">
        <f t="shared" si="1"/>
        <v>2.079999999999993E-2</v>
      </c>
      <c r="F8" s="1">
        <v>77.599999999999994</v>
      </c>
      <c r="G8" s="1"/>
      <c r="H8" s="1">
        <v>6.4999999999999997E-3</v>
      </c>
      <c r="I8" s="1">
        <v>1.3</v>
      </c>
      <c r="J8" s="2" t="s">
        <v>17</v>
      </c>
    </row>
    <row r="9" spans="2:10" x14ac:dyDescent="0.35">
      <c r="B9" s="2" t="s">
        <v>18</v>
      </c>
      <c r="C9" s="1">
        <v>920.5</v>
      </c>
      <c r="D9" s="1">
        <f t="shared" si="0"/>
        <v>0.92049999999999998</v>
      </c>
      <c r="E9" s="1">
        <f t="shared" si="1"/>
        <v>2.5610000000000022E-2</v>
      </c>
      <c r="F9" s="1">
        <v>79.8</v>
      </c>
      <c r="G9" s="1"/>
      <c r="H9" s="1">
        <v>3.0999999999999999E-3</v>
      </c>
      <c r="I9" s="1">
        <v>0.6</v>
      </c>
      <c r="J9" s="2" t="s">
        <v>18</v>
      </c>
    </row>
    <row r="10" spans="2:10" x14ac:dyDescent="0.35">
      <c r="B10" s="2" t="s">
        <v>19</v>
      </c>
      <c r="C10" s="1">
        <v>945.47</v>
      </c>
      <c r="D10" s="1">
        <f t="shared" si="0"/>
        <v>0.94547000000000003</v>
      </c>
      <c r="E10" s="1">
        <f t="shared" si="1"/>
        <v>2.4970000000000048E-2</v>
      </c>
      <c r="F10" s="1">
        <v>81.900000000000006</v>
      </c>
      <c r="G10" s="1"/>
      <c r="H10" s="1">
        <v>1.5E-3</v>
      </c>
      <c r="I10" s="1">
        <v>0.3</v>
      </c>
      <c r="J10" s="2" t="s">
        <v>20</v>
      </c>
    </row>
    <row r="11" spans="2:10" x14ac:dyDescent="0.35">
      <c r="B11" s="2" t="s">
        <v>21</v>
      </c>
      <c r="C11" s="1">
        <v>986.16</v>
      </c>
      <c r="D11" s="1">
        <f t="shared" si="0"/>
        <v>0.98615999999999993</v>
      </c>
      <c r="E11" s="1">
        <f t="shared" si="1"/>
        <v>4.0689999999999893E-2</v>
      </c>
      <c r="F11" s="1">
        <v>85.5</v>
      </c>
      <c r="G11" s="1"/>
      <c r="H11" s="1">
        <v>8.8999999999999999E-3</v>
      </c>
      <c r="I11" s="1">
        <v>1.8</v>
      </c>
      <c r="J11" s="2" t="s">
        <v>22</v>
      </c>
    </row>
    <row r="12" spans="2:10" x14ac:dyDescent="0.35">
      <c r="B12" s="2" t="s">
        <v>23</v>
      </c>
      <c r="C12" s="1">
        <v>1034.26</v>
      </c>
      <c r="D12" s="1">
        <f t="shared" si="0"/>
        <v>1.03426</v>
      </c>
      <c r="E12" s="1">
        <f t="shared" si="1"/>
        <v>4.8100000000000032E-2</v>
      </c>
      <c r="F12" s="1">
        <v>89.7</v>
      </c>
      <c r="G12" s="1"/>
      <c r="H12" s="1">
        <v>2.5000000000000001E-2</v>
      </c>
      <c r="I12" s="1">
        <v>5.0999999999999996</v>
      </c>
      <c r="J12" s="2" t="s">
        <v>24</v>
      </c>
    </row>
    <row r="13" spans="2:10" x14ac:dyDescent="0.35">
      <c r="B13" s="2" t="s">
        <v>25</v>
      </c>
      <c r="C13" s="1">
        <v>1052.73</v>
      </c>
      <c r="D13" s="1">
        <f t="shared" si="0"/>
        <v>1.0527299999999999</v>
      </c>
      <c r="E13" s="1">
        <f t="shared" si="1"/>
        <v>1.8469999999999986E-2</v>
      </c>
      <c r="F13" s="1">
        <v>91.3</v>
      </c>
      <c r="G13" s="1"/>
      <c r="H13" s="1">
        <v>2.5000000000000001E-2</v>
      </c>
      <c r="I13" s="1">
        <v>5.0999999999999996</v>
      </c>
      <c r="J13" s="2" t="s">
        <v>26</v>
      </c>
    </row>
    <row r="14" spans="2:10" x14ac:dyDescent="0.35">
      <c r="B14" s="2" t="s">
        <v>27</v>
      </c>
      <c r="C14" s="1"/>
      <c r="D14" s="1">
        <f t="shared" si="0"/>
        <v>0</v>
      </c>
      <c r="E14" s="1"/>
      <c r="F14" s="1"/>
      <c r="G14" s="1"/>
      <c r="H14" s="1">
        <v>1.37E-2</v>
      </c>
      <c r="I14" s="1">
        <v>2.8</v>
      </c>
      <c r="J14" s="2" t="s">
        <v>28</v>
      </c>
    </row>
    <row r="15" spans="2:10" x14ac:dyDescent="0.35">
      <c r="B15" s="2" t="s">
        <v>29</v>
      </c>
      <c r="C15" s="1">
        <v>1107.32</v>
      </c>
      <c r="D15" s="1">
        <f t="shared" si="0"/>
        <v>1.1073199999999999</v>
      </c>
      <c r="E15" s="1">
        <f>D15-H14*0.6</f>
        <v>1.0991</v>
      </c>
      <c r="F15" s="1">
        <v>96</v>
      </c>
      <c r="G15" s="1"/>
      <c r="H15" s="1">
        <v>8.6E-3</v>
      </c>
      <c r="I15" s="1">
        <v>1.7</v>
      </c>
      <c r="J15" s="2" t="s">
        <v>30</v>
      </c>
    </row>
    <row r="16" spans="2:10" x14ac:dyDescent="0.35">
      <c r="B16" s="2" t="s">
        <v>31</v>
      </c>
      <c r="C16" s="1">
        <v>1153.24</v>
      </c>
      <c r="D16" s="1">
        <f t="shared" si="0"/>
        <v>1.15324</v>
      </c>
      <c r="E16" s="1"/>
      <c r="F16" s="1">
        <v>100</v>
      </c>
      <c r="G16" s="1"/>
      <c r="H16" s="1">
        <v>1.6000000000000001E-3</v>
      </c>
      <c r="I16" s="1">
        <v>0.3</v>
      </c>
      <c r="J16" s="2" t="s">
        <v>32</v>
      </c>
    </row>
    <row r="19" spans="2:10" x14ac:dyDescent="0.35">
      <c r="B19" s="1" t="s">
        <v>0</v>
      </c>
      <c r="C19" s="1" t="s">
        <v>1</v>
      </c>
      <c r="D19" s="1" t="s">
        <v>78</v>
      </c>
      <c r="E19" s="1"/>
      <c r="F19" s="1" t="s">
        <v>2</v>
      </c>
      <c r="G19" s="1"/>
      <c r="H19" s="1" t="s">
        <v>3</v>
      </c>
      <c r="I19" s="1" t="s">
        <v>4</v>
      </c>
      <c r="J19" s="1" t="s">
        <v>5</v>
      </c>
    </row>
    <row r="20" spans="2:10" x14ac:dyDescent="0.35">
      <c r="B20" s="2" t="s">
        <v>6</v>
      </c>
      <c r="C20" s="1">
        <v>453.64</v>
      </c>
      <c r="D20" s="1">
        <f t="shared" ref="D20:D33" si="2">C20/1000</f>
        <v>0.45363999999999999</v>
      </c>
      <c r="E20" s="1"/>
      <c r="F20" s="1">
        <v>39.299999999999997</v>
      </c>
      <c r="G20" s="1"/>
      <c r="H20" s="1"/>
      <c r="I20" s="1"/>
      <c r="J20" s="2" t="s">
        <v>7</v>
      </c>
    </row>
    <row r="21" spans="2:10" x14ac:dyDescent="0.35">
      <c r="B21" s="2" t="s">
        <v>8</v>
      </c>
      <c r="C21" s="1">
        <v>805.79</v>
      </c>
      <c r="D21" s="1">
        <f t="shared" si="2"/>
        <v>0.80579000000000001</v>
      </c>
      <c r="E21" s="1">
        <f t="shared" ref="E21:E30" si="3">D21-D20</f>
        <v>0.35215000000000002</v>
      </c>
      <c r="F21" s="1">
        <v>69.900000000000006</v>
      </c>
      <c r="G21" s="1"/>
      <c r="H21" s="1">
        <v>0.30880000000000002</v>
      </c>
      <c r="I21" s="1">
        <v>62.8</v>
      </c>
      <c r="J21" s="2" t="s">
        <v>9</v>
      </c>
    </row>
    <row r="22" spans="2:10" x14ac:dyDescent="0.35">
      <c r="B22" s="2" t="s">
        <v>10</v>
      </c>
      <c r="C22" s="1">
        <v>837.45</v>
      </c>
      <c r="D22" s="1">
        <f t="shared" si="2"/>
        <v>0.83745000000000003</v>
      </c>
      <c r="E22" s="1">
        <f t="shared" si="3"/>
        <v>3.1660000000000021E-2</v>
      </c>
      <c r="F22" s="1">
        <v>72.599999999999994</v>
      </c>
      <c r="G22" s="1"/>
      <c r="H22" s="1"/>
      <c r="I22" s="1"/>
      <c r="J22" s="2" t="s">
        <v>11</v>
      </c>
    </row>
    <row r="23" spans="2:10" x14ac:dyDescent="0.35">
      <c r="B23" s="2" t="s">
        <v>12</v>
      </c>
      <c r="C23" s="1">
        <v>855.67</v>
      </c>
      <c r="D23" s="1">
        <f t="shared" si="2"/>
        <v>0.85566999999999993</v>
      </c>
      <c r="E23" s="1">
        <f t="shared" si="3"/>
        <v>1.8219999999999903E-2</v>
      </c>
      <c r="F23" s="1">
        <v>74.2</v>
      </c>
      <c r="G23" s="1"/>
      <c r="H23" s="1">
        <v>1.5100000000000001E-2</v>
      </c>
      <c r="I23" s="1">
        <v>3.1</v>
      </c>
      <c r="J23" s="2" t="s">
        <v>13</v>
      </c>
    </row>
    <row r="24" spans="2:10" x14ac:dyDescent="0.35">
      <c r="B24" s="2" t="s">
        <v>14</v>
      </c>
      <c r="C24" s="1">
        <v>874.09</v>
      </c>
      <c r="D24" s="1">
        <f t="shared" si="2"/>
        <v>0.87409000000000003</v>
      </c>
      <c r="E24" s="1">
        <f t="shared" si="3"/>
        <v>1.8420000000000103E-2</v>
      </c>
      <c r="F24" s="1">
        <v>75.8</v>
      </c>
      <c r="G24" s="1"/>
      <c r="H24" s="1">
        <v>2.63E-2</v>
      </c>
      <c r="I24" s="1">
        <v>5.3</v>
      </c>
      <c r="J24" s="2" t="s">
        <v>15</v>
      </c>
    </row>
    <row r="25" spans="2:10" x14ac:dyDescent="0.35">
      <c r="B25" s="2" t="s">
        <v>16</v>
      </c>
      <c r="C25" s="1">
        <v>894.89</v>
      </c>
      <c r="D25" s="1">
        <f t="shared" si="2"/>
        <v>0.89488999999999996</v>
      </c>
      <c r="E25" s="1">
        <f t="shared" si="3"/>
        <v>2.079999999999993E-2</v>
      </c>
      <c r="F25" s="1">
        <v>77.599999999999994</v>
      </c>
      <c r="G25" s="1"/>
      <c r="H25" s="1">
        <v>6.4999999999999997E-3</v>
      </c>
      <c r="I25" s="1">
        <v>1.3</v>
      </c>
      <c r="J25" s="2" t="s">
        <v>17</v>
      </c>
    </row>
    <row r="26" spans="2:10" x14ac:dyDescent="0.35">
      <c r="B26" s="2" t="s">
        <v>18</v>
      </c>
      <c r="C26" s="1">
        <v>920.5</v>
      </c>
      <c r="D26" s="1">
        <f t="shared" si="2"/>
        <v>0.92049999999999998</v>
      </c>
      <c r="E26" s="1">
        <f t="shared" si="3"/>
        <v>2.5610000000000022E-2</v>
      </c>
      <c r="F26" s="1">
        <v>79.8</v>
      </c>
      <c r="G26" s="1"/>
      <c r="H26" s="1">
        <v>3.0999999999999999E-3</v>
      </c>
      <c r="I26" s="1">
        <v>0.6</v>
      </c>
      <c r="J26" s="2" t="s">
        <v>18</v>
      </c>
    </row>
    <row r="27" spans="2:10" x14ac:dyDescent="0.35">
      <c r="B27" s="2" t="s">
        <v>19</v>
      </c>
      <c r="C27" s="1">
        <v>945.47</v>
      </c>
      <c r="D27" s="1">
        <f t="shared" si="2"/>
        <v>0.94547000000000003</v>
      </c>
      <c r="E27" s="1">
        <f t="shared" si="3"/>
        <v>2.4970000000000048E-2</v>
      </c>
      <c r="F27" s="1">
        <v>81.900000000000006</v>
      </c>
      <c r="G27" s="1"/>
      <c r="H27" s="1">
        <v>1.5E-3</v>
      </c>
      <c r="I27" s="1">
        <v>0.3</v>
      </c>
      <c r="J27" s="2" t="s">
        <v>20</v>
      </c>
    </row>
    <row r="28" spans="2:10" x14ac:dyDescent="0.35">
      <c r="B28" s="2" t="s">
        <v>21</v>
      </c>
      <c r="C28" s="1">
        <v>986.16</v>
      </c>
      <c r="D28" s="1">
        <f t="shared" si="2"/>
        <v>0.98615999999999993</v>
      </c>
      <c r="E28" s="1">
        <f t="shared" si="3"/>
        <v>4.0689999999999893E-2</v>
      </c>
      <c r="F28" s="1">
        <v>85.5</v>
      </c>
      <c r="G28" s="1"/>
      <c r="H28" s="1">
        <v>8.8999999999999999E-3</v>
      </c>
      <c r="I28" s="1">
        <v>1.8</v>
      </c>
      <c r="J28" s="2" t="s">
        <v>22</v>
      </c>
    </row>
    <row r="29" spans="2:10" x14ac:dyDescent="0.35">
      <c r="B29" s="2" t="s">
        <v>23</v>
      </c>
      <c r="C29" s="1">
        <v>1034.26</v>
      </c>
      <c r="D29" s="1">
        <f t="shared" si="2"/>
        <v>1.03426</v>
      </c>
      <c r="E29" s="1">
        <f t="shared" si="3"/>
        <v>4.8100000000000032E-2</v>
      </c>
      <c r="F29" s="1">
        <v>89.7</v>
      </c>
      <c r="G29" s="1"/>
      <c r="H29" s="1">
        <v>2.5000000000000001E-2</v>
      </c>
      <c r="I29" s="1">
        <v>5.0999999999999996</v>
      </c>
      <c r="J29" s="2" t="s">
        <v>24</v>
      </c>
    </row>
    <row r="30" spans="2:10" x14ac:dyDescent="0.35">
      <c r="B30" s="2" t="s">
        <v>25</v>
      </c>
      <c r="C30" s="1">
        <v>1052.73</v>
      </c>
      <c r="D30" s="1">
        <f t="shared" si="2"/>
        <v>1.0527299999999999</v>
      </c>
      <c r="E30" s="1">
        <f t="shared" si="3"/>
        <v>1.8469999999999986E-2</v>
      </c>
      <c r="F30" s="1">
        <v>91.3</v>
      </c>
      <c r="G30" s="1"/>
      <c r="H30" s="1">
        <v>2.5000000000000001E-2</v>
      </c>
      <c r="I30" s="1">
        <v>5.0999999999999996</v>
      </c>
      <c r="J30" s="2" t="s">
        <v>26</v>
      </c>
    </row>
    <row r="31" spans="2:10" x14ac:dyDescent="0.35">
      <c r="B31" s="2" t="s">
        <v>27</v>
      </c>
      <c r="C31" s="1"/>
      <c r="D31" s="1">
        <f t="shared" si="2"/>
        <v>0</v>
      </c>
      <c r="E31" s="1"/>
      <c r="F31" s="1"/>
      <c r="G31" s="1"/>
      <c r="H31" s="1">
        <v>1.37E-2</v>
      </c>
      <c r="I31" s="1">
        <v>2.8</v>
      </c>
      <c r="J31" s="2" t="s">
        <v>28</v>
      </c>
    </row>
    <row r="32" spans="2:10" x14ac:dyDescent="0.35">
      <c r="B32" s="2" t="s">
        <v>29</v>
      </c>
      <c r="C32" s="1">
        <v>1107.32</v>
      </c>
      <c r="D32" s="1">
        <f t="shared" si="2"/>
        <v>1.1073199999999999</v>
      </c>
      <c r="E32" s="1">
        <f>D32-H31*0.6</f>
        <v>1.0991</v>
      </c>
      <c r="F32" s="1">
        <v>96</v>
      </c>
      <c r="G32" s="1"/>
      <c r="H32" s="1">
        <v>8.6E-3</v>
      </c>
      <c r="I32" s="1">
        <v>1.7</v>
      </c>
      <c r="J32" s="2" t="s">
        <v>30</v>
      </c>
    </row>
    <row r="33" spans="2:10" x14ac:dyDescent="0.35">
      <c r="B33" s="2" t="s">
        <v>31</v>
      </c>
      <c r="C33" s="1">
        <v>1153.24</v>
      </c>
      <c r="D33" s="1">
        <f t="shared" si="2"/>
        <v>1.15324</v>
      </c>
      <c r="E33" s="1"/>
      <c r="F33" s="1">
        <v>100</v>
      </c>
      <c r="G33" s="1"/>
      <c r="H33" s="1">
        <v>1.6000000000000001E-3</v>
      </c>
      <c r="I33" s="1">
        <v>0.3</v>
      </c>
      <c r="J33" s="2" t="s">
        <v>32</v>
      </c>
    </row>
    <row r="34" spans="2:10" x14ac:dyDescent="0.35">
      <c r="B34" s="2"/>
      <c r="C34" s="1"/>
      <c r="D34" s="1"/>
      <c r="E34" s="1"/>
      <c r="F34" s="1"/>
      <c r="G34" s="1"/>
      <c r="H34" s="1"/>
      <c r="I34" s="1"/>
      <c r="J34" s="2"/>
    </row>
  </sheetData>
  <mergeCells count="2">
    <mergeCell ref="C1:F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865E-53C7-45E8-B4CB-C8C283CB456C}">
  <dimension ref="B2:G50"/>
  <sheetViews>
    <sheetView tabSelected="1" topLeftCell="D36" zoomScaleNormal="100" workbookViewId="0">
      <selection activeCell="F57" sqref="F57"/>
    </sheetView>
  </sheetViews>
  <sheetFormatPr defaultRowHeight="14.5" x14ac:dyDescent="0.35"/>
  <cols>
    <col min="2" max="2" width="19.453125" bestFit="1" customWidth="1"/>
    <col min="3" max="3" width="16.1796875" bestFit="1" customWidth="1"/>
    <col min="4" max="4" width="19.36328125" bestFit="1" customWidth="1"/>
    <col min="5" max="5" width="18.90625" bestFit="1" customWidth="1"/>
    <col min="6" max="6" width="29.453125" bestFit="1" customWidth="1"/>
    <col min="7" max="7" width="25.08984375" bestFit="1" customWidth="1"/>
  </cols>
  <sheetData>
    <row r="2" spans="2:7" x14ac:dyDescent="0.35">
      <c r="B2" s="1"/>
      <c r="C2" s="6" t="s">
        <v>47</v>
      </c>
      <c r="D2" s="6"/>
      <c r="E2" s="6" t="s">
        <v>50</v>
      </c>
      <c r="F2" s="6"/>
      <c r="G2" s="1"/>
    </row>
    <row r="3" spans="2:7" x14ac:dyDescent="0.35">
      <c r="B3" s="1" t="s">
        <v>0</v>
      </c>
      <c r="C3" s="1" t="s">
        <v>46</v>
      </c>
      <c r="D3" s="1" t="s">
        <v>45</v>
      </c>
      <c r="E3" s="1" t="s">
        <v>44</v>
      </c>
      <c r="F3" s="1" t="s">
        <v>49</v>
      </c>
      <c r="G3" s="1" t="s">
        <v>5</v>
      </c>
    </row>
    <row r="4" spans="2:7" x14ac:dyDescent="0.35">
      <c r="B4" t="s">
        <v>6</v>
      </c>
      <c r="C4" s="1">
        <v>29.02</v>
      </c>
      <c r="D4" s="1">
        <v>29.02</v>
      </c>
      <c r="E4" s="1">
        <v>88.65</v>
      </c>
      <c r="F4" s="1">
        <v>88.65</v>
      </c>
      <c r="G4" t="s">
        <v>43</v>
      </c>
    </row>
    <row r="5" spans="2:7" x14ac:dyDescent="0.35">
      <c r="B5" t="s">
        <v>8</v>
      </c>
      <c r="C5" s="1">
        <v>78.75</v>
      </c>
      <c r="D5" s="1">
        <v>49.73</v>
      </c>
      <c r="E5" s="1">
        <v>142.29</v>
      </c>
      <c r="F5" s="1">
        <v>53.65</v>
      </c>
      <c r="G5" t="s">
        <v>42</v>
      </c>
    </row>
    <row r="6" spans="2:7" x14ac:dyDescent="0.35">
      <c r="C6" s="1"/>
      <c r="D6" s="1"/>
      <c r="E6" s="1"/>
      <c r="F6" s="1"/>
    </row>
    <row r="7" spans="2:7" x14ac:dyDescent="0.35">
      <c r="B7" t="s">
        <v>12</v>
      </c>
      <c r="C7" s="1">
        <v>82.51</v>
      </c>
      <c r="D7" s="1">
        <v>3.76</v>
      </c>
      <c r="E7" s="1">
        <v>127.31</v>
      </c>
      <c r="F7" s="1">
        <v>1.82</v>
      </c>
      <c r="G7" t="s">
        <v>41</v>
      </c>
    </row>
    <row r="8" spans="2:7" x14ac:dyDescent="0.35">
      <c r="B8" t="s">
        <v>14</v>
      </c>
      <c r="C8" s="1">
        <v>82.54</v>
      </c>
      <c r="D8" s="1">
        <v>0.03</v>
      </c>
      <c r="E8" s="1">
        <v>129.21</v>
      </c>
      <c r="F8" s="1">
        <v>1.9</v>
      </c>
      <c r="G8" t="s">
        <v>40</v>
      </c>
    </row>
    <row r="9" spans="2:7" x14ac:dyDescent="0.35">
      <c r="B9" t="s">
        <v>16</v>
      </c>
      <c r="C9" s="1">
        <v>83.45</v>
      </c>
      <c r="D9" s="1">
        <v>0.91</v>
      </c>
      <c r="E9" s="1">
        <v>129.44</v>
      </c>
      <c r="F9" s="1">
        <v>0.23</v>
      </c>
      <c r="G9" t="s">
        <v>39</v>
      </c>
    </row>
    <row r="10" spans="2:7" x14ac:dyDescent="0.35">
      <c r="B10" t="s">
        <v>18</v>
      </c>
      <c r="C10" s="1">
        <v>84.45</v>
      </c>
      <c r="D10" s="1">
        <v>1</v>
      </c>
      <c r="E10" s="1">
        <v>129.47</v>
      </c>
      <c r="F10" s="1">
        <v>0.03</v>
      </c>
      <c r="G10" t="s">
        <v>38</v>
      </c>
    </row>
    <row r="11" spans="2:7" x14ac:dyDescent="0.35">
      <c r="B11" t="s">
        <v>19</v>
      </c>
      <c r="C11" s="1">
        <v>85.42</v>
      </c>
      <c r="D11" s="1">
        <v>0.97</v>
      </c>
      <c r="E11" s="1">
        <v>129.81</v>
      </c>
      <c r="F11" s="1">
        <v>0.34</v>
      </c>
      <c r="G11" t="s">
        <v>37</v>
      </c>
    </row>
    <row r="12" spans="2:7" x14ac:dyDescent="0.35">
      <c r="B12" t="s">
        <v>21</v>
      </c>
      <c r="C12" s="1">
        <v>76.95</v>
      </c>
      <c r="D12" s="1">
        <v>-8.4700000000000006</v>
      </c>
      <c r="E12" s="1">
        <v>129.81</v>
      </c>
      <c r="F12" s="1">
        <v>0</v>
      </c>
      <c r="G12" t="s">
        <v>36</v>
      </c>
    </row>
    <row r="13" spans="2:7" x14ac:dyDescent="0.35">
      <c r="B13" t="s">
        <v>23</v>
      </c>
      <c r="C13" s="1">
        <v>102.49</v>
      </c>
      <c r="D13" s="1">
        <v>25.54</v>
      </c>
      <c r="E13" s="1">
        <v>126.31</v>
      </c>
      <c r="F13" s="1">
        <v>-3.49</v>
      </c>
      <c r="G13" t="s">
        <v>24</v>
      </c>
    </row>
    <row r="14" spans="2:7" x14ac:dyDescent="0.35">
      <c r="B14" t="s">
        <v>25</v>
      </c>
      <c r="C14" s="1">
        <v>102.51</v>
      </c>
      <c r="D14" s="1">
        <v>0.02</v>
      </c>
      <c r="E14" s="1">
        <v>127.09</v>
      </c>
      <c r="F14" s="1">
        <v>0.78</v>
      </c>
      <c r="G14" t="s">
        <v>26</v>
      </c>
    </row>
    <row r="15" spans="2:7" x14ac:dyDescent="0.35">
      <c r="C15" s="1"/>
      <c r="D15" s="1"/>
      <c r="E15" s="1"/>
      <c r="F15" s="1"/>
    </row>
    <row r="16" spans="2:7" x14ac:dyDescent="0.35">
      <c r="B16" t="s">
        <v>29</v>
      </c>
      <c r="C16" s="1">
        <v>102.54</v>
      </c>
      <c r="D16" s="1">
        <v>0.03</v>
      </c>
      <c r="E16" s="1">
        <v>148.30000000000001</v>
      </c>
      <c r="F16" s="1">
        <v>20.55</v>
      </c>
      <c r="G16" t="s">
        <v>30</v>
      </c>
    </row>
    <row r="17" spans="2:7" x14ac:dyDescent="0.35">
      <c r="B17" t="s">
        <v>35</v>
      </c>
      <c r="C17" s="1">
        <v>102.51</v>
      </c>
      <c r="D17" s="1">
        <v>-0.03</v>
      </c>
      <c r="E17" s="1">
        <v>148.30000000000001</v>
      </c>
      <c r="F17" s="1">
        <v>0</v>
      </c>
      <c r="G17" t="s">
        <v>34</v>
      </c>
    </row>
    <row r="18" spans="2:7" x14ac:dyDescent="0.35">
      <c r="B18" t="s">
        <v>31</v>
      </c>
      <c r="C18" s="1">
        <v>103.47</v>
      </c>
      <c r="D18" s="1">
        <v>0.96</v>
      </c>
      <c r="E18" s="1">
        <v>148.41</v>
      </c>
      <c r="F18" s="1">
        <v>0.11</v>
      </c>
      <c r="G18" t="s">
        <v>33</v>
      </c>
    </row>
    <row r="22" spans="2:7" x14ac:dyDescent="0.35">
      <c r="B22" s="1"/>
      <c r="C22" s="6" t="s">
        <v>47</v>
      </c>
      <c r="D22" s="6"/>
      <c r="E22" s="6" t="s">
        <v>50</v>
      </c>
      <c r="F22" s="6"/>
      <c r="G22" s="1"/>
    </row>
    <row r="23" spans="2:7" x14ac:dyDescent="0.35">
      <c r="B23" s="1" t="s">
        <v>0</v>
      </c>
      <c r="C23" s="1" t="s">
        <v>46</v>
      </c>
      <c r="D23" s="1" t="s">
        <v>45</v>
      </c>
      <c r="E23" s="1" t="s">
        <v>44</v>
      </c>
      <c r="F23" s="1" t="s">
        <v>49</v>
      </c>
      <c r="G23" s="1" t="s">
        <v>5</v>
      </c>
    </row>
    <row r="24" spans="2:7" x14ac:dyDescent="0.35">
      <c r="B24" t="s">
        <v>6</v>
      </c>
      <c r="C24" s="1">
        <v>29.02</v>
      </c>
      <c r="D24" s="1">
        <v>29.02</v>
      </c>
      <c r="E24" s="1">
        <v>88.65</v>
      </c>
      <c r="F24" s="1">
        <v>88.65</v>
      </c>
      <c r="G24" t="s">
        <v>43</v>
      </c>
    </row>
    <row r="25" spans="2:7" x14ac:dyDescent="0.35">
      <c r="B25" t="s">
        <v>8</v>
      </c>
      <c r="C25" s="1">
        <v>78.75</v>
      </c>
      <c r="D25" s="1">
        <v>49.73</v>
      </c>
      <c r="E25" s="1">
        <v>142.29</v>
      </c>
      <c r="F25" s="1">
        <v>53.65</v>
      </c>
      <c r="G25" t="s">
        <v>42</v>
      </c>
    </row>
    <row r="26" spans="2:7" x14ac:dyDescent="0.35">
      <c r="B26" t="s">
        <v>12</v>
      </c>
      <c r="C26" s="1">
        <v>82.51</v>
      </c>
      <c r="D26" s="1">
        <v>3.76</v>
      </c>
      <c r="E26" s="1">
        <v>127.31</v>
      </c>
      <c r="F26" s="1">
        <v>1.82</v>
      </c>
      <c r="G26" t="s">
        <v>41</v>
      </c>
    </row>
    <row r="27" spans="2:7" x14ac:dyDescent="0.35">
      <c r="B27" t="s">
        <v>14</v>
      </c>
      <c r="C27" s="1">
        <v>82.54</v>
      </c>
      <c r="D27" s="1">
        <v>0.03</v>
      </c>
      <c r="E27" s="1">
        <v>129.21</v>
      </c>
      <c r="F27" s="1">
        <v>1.9</v>
      </c>
      <c r="G27" t="s">
        <v>40</v>
      </c>
    </row>
    <row r="28" spans="2:7" x14ac:dyDescent="0.35">
      <c r="B28" t="s">
        <v>16</v>
      </c>
      <c r="C28" s="1">
        <v>83.45</v>
      </c>
      <c r="D28" s="1">
        <v>0.91</v>
      </c>
      <c r="E28" s="1">
        <v>129.44</v>
      </c>
      <c r="F28" s="1">
        <v>0.23</v>
      </c>
      <c r="G28" t="s">
        <v>39</v>
      </c>
    </row>
    <row r="29" spans="2:7" x14ac:dyDescent="0.35">
      <c r="B29" t="s">
        <v>18</v>
      </c>
      <c r="C29" s="1">
        <v>84.45</v>
      </c>
      <c r="D29" s="1">
        <v>1</v>
      </c>
      <c r="E29" s="1">
        <v>129.47</v>
      </c>
      <c r="F29" s="1">
        <v>0.03</v>
      </c>
      <c r="G29" t="s">
        <v>38</v>
      </c>
    </row>
    <row r="30" spans="2:7" x14ac:dyDescent="0.35">
      <c r="B30" t="s">
        <v>19</v>
      </c>
      <c r="C30" s="1">
        <v>85.42</v>
      </c>
      <c r="D30" s="1">
        <v>0.97</v>
      </c>
      <c r="E30" s="1">
        <v>129.81</v>
      </c>
      <c r="F30" s="1">
        <v>0.34</v>
      </c>
      <c r="G30" t="s">
        <v>37</v>
      </c>
    </row>
    <row r="31" spans="2:7" x14ac:dyDescent="0.35">
      <c r="B31" t="s">
        <v>21</v>
      </c>
      <c r="C31" s="1">
        <v>76.95</v>
      </c>
      <c r="D31" s="1">
        <v>-8.4700000000000006</v>
      </c>
      <c r="E31" s="1">
        <v>129.81</v>
      </c>
      <c r="F31" s="1">
        <v>0</v>
      </c>
      <c r="G31" t="s">
        <v>36</v>
      </c>
    </row>
    <row r="32" spans="2:7" x14ac:dyDescent="0.35">
      <c r="B32" t="s">
        <v>23</v>
      </c>
      <c r="C32" s="1">
        <v>102.49</v>
      </c>
      <c r="D32" s="1">
        <v>25.54</v>
      </c>
      <c r="E32" s="1">
        <v>126.31</v>
      </c>
      <c r="F32" s="1">
        <v>-3.49</v>
      </c>
      <c r="G32" t="s">
        <v>24</v>
      </c>
    </row>
    <row r="33" spans="2:7" x14ac:dyDescent="0.35">
      <c r="B33" t="s">
        <v>25</v>
      </c>
      <c r="C33" s="1">
        <v>102.51</v>
      </c>
      <c r="D33" s="1">
        <v>0.02</v>
      </c>
      <c r="E33" s="1">
        <v>127.09</v>
      </c>
      <c r="F33" s="1">
        <v>0.78</v>
      </c>
      <c r="G33" t="s">
        <v>26</v>
      </c>
    </row>
    <row r="34" spans="2:7" x14ac:dyDescent="0.35">
      <c r="B34" t="s">
        <v>29</v>
      </c>
      <c r="C34" s="1">
        <v>102.54</v>
      </c>
      <c r="D34" s="1">
        <v>0.03</v>
      </c>
      <c r="E34" s="1">
        <v>148.30000000000001</v>
      </c>
      <c r="F34" s="1">
        <v>20.55</v>
      </c>
      <c r="G34" t="s">
        <v>30</v>
      </c>
    </row>
    <row r="35" spans="2:7" x14ac:dyDescent="0.35">
      <c r="B35" t="s">
        <v>35</v>
      </c>
      <c r="C35" s="1">
        <v>102.51</v>
      </c>
      <c r="D35" s="1">
        <v>-0.03</v>
      </c>
      <c r="E35" s="1">
        <v>148.30000000000001</v>
      </c>
      <c r="F35" s="1">
        <v>0</v>
      </c>
      <c r="G35" t="s">
        <v>34</v>
      </c>
    </row>
    <row r="36" spans="2:7" x14ac:dyDescent="0.35">
      <c r="B36" t="s">
        <v>31</v>
      </c>
      <c r="C36" s="1">
        <v>103.47</v>
      </c>
      <c r="D36" s="1">
        <v>0.96</v>
      </c>
      <c r="E36" s="1">
        <v>148.41</v>
      </c>
      <c r="F36" s="1">
        <v>0.11</v>
      </c>
      <c r="G36" t="s">
        <v>33</v>
      </c>
    </row>
    <row r="39" spans="2:7" x14ac:dyDescent="0.35">
      <c r="D39" t="s">
        <v>83</v>
      </c>
      <c r="E39" t="s">
        <v>48</v>
      </c>
    </row>
    <row r="40" spans="2:7" x14ac:dyDescent="0.35">
      <c r="C40" t="s">
        <v>12</v>
      </c>
      <c r="D40" s="1">
        <v>3.76</v>
      </c>
      <c r="E40" s="1">
        <v>1.82</v>
      </c>
    </row>
    <row r="41" spans="2:7" x14ac:dyDescent="0.35">
      <c r="C41" t="s">
        <v>14</v>
      </c>
      <c r="D41" s="1">
        <v>0.03</v>
      </c>
      <c r="E41" s="1">
        <v>1.9</v>
      </c>
    </row>
    <row r="42" spans="2:7" x14ac:dyDescent="0.35">
      <c r="C42" t="s">
        <v>16</v>
      </c>
      <c r="D42" s="1">
        <v>0.91</v>
      </c>
      <c r="E42" s="1">
        <v>0.23</v>
      </c>
    </row>
    <row r="43" spans="2:7" x14ac:dyDescent="0.35">
      <c r="C43" t="s">
        <v>18</v>
      </c>
      <c r="D43" s="1">
        <v>1</v>
      </c>
      <c r="E43" s="1">
        <v>0.03</v>
      </c>
    </row>
    <row r="44" spans="2:7" x14ac:dyDescent="0.35">
      <c r="C44" t="s">
        <v>19</v>
      </c>
      <c r="D44" s="1">
        <v>0.97</v>
      </c>
      <c r="E44" s="1">
        <v>0.34</v>
      </c>
    </row>
    <row r="45" spans="2:7" x14ac:dyDescent="0.35">
      <c r="C45" t="s">
        <v>21</v>
      </c>
      <c r="D45" s="1">
        <v>-8.4700000000000006</v>
      </c>
      <c r="E45" s="1">
        <v>0</v>
      </c>
    </row>
    <row r="46" spans="2:7" x14ac:dyDescent="0.35">
      <c r="C46" t="s">
        <v>23</v>
      </c>
      <c r="D46" s="1">
        <v>25.54</v>
      </c>
      <c r="E46" s="1">
        <v>-3.49</v>
      </c>
    </row>
    <row r="47" spans="2:7" x14ac:dyDescent="0.35">
      <c r="C47" t="s">
        <v>25</v>
      </c>
      <c r="D47" s="1">
        <v>0.02</v>
      </c>
      <c r="E47" s="1">
        <v>0.78</v>
      </c>
    </row>
    <row r="48" spans="2:7" x14ac:dyDescent="0.35">
      <c r="C48" t="s">
        <v>29</v>
      </c>
      <c r="D48" s="1">
        <v>0.03</v>
      </c>
      <c r="E48" s="1">
        <v>20.55</v>
      </c>
    </row>
    <row r="49" spans="3:5" x14ac:dyDescent="0.35">
      <c r="C49" t="s">
        <v>35</v>
      </c>
      <c r="D49" s="1">
        <v>-0.03</v>
      </c>
      <c r="E49" s="1">
        <v>0</v>
      </c>
    </row>
    <row r="50" spans="3:5" x14ac:dyDescent="0.35">
      <c r="C50" t="s">
        <v>31</v>
      </c>
      <c r="D50" s="1">
        <v>0.96</v>
      </c>
      <c r="E50" s="1">
        <v>0.11</v>
      </c>
    </row>
  </sheetData>
  <mergeCells count="4">
    <mergeCell ref="C2:D2"/>
    <mergeCell ref="E2:F2"/>
    <mergeCell ref="C22:D22"/>
    <mergeCell ref="E22:F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C971-3086-42A5-86CF-F461EDA744BB}">
  <dimension ref="C2:S15"/>
  <sheetViews>
    <sheetView zoomScale="55" zoomScaleNormal="55" workbookViewId="0">
      <selection activeCell="H26" sqref="H26"/>
    </sheetView>
  </sheetViews>
  <sheetFormatPr defaultRowHeight="14.5" x14ac:dyDescent="0.35"/>
  <cols>
    <col min="3" max="3" width="13.36328125" bestFit="1" customWidth="1"/>
    <col min="4" max="4" width="10.1796875" bestFit="1" customWidth="1"/>
    <col min="5" max="5" width="7.36328125" bestFit="1" customWidth="1"/>
    <col min="6" max="7" width="11.81640625" bestFit="1" customWidth="1"/>
    <col min="8" max="8" width="53.453125" bestFit="1" customWidth="1"/>
    <col min="11" max="11" width="7.81640625" bestFit="1" customWidth="1"/>
  </cols>
  <sheetData>
    <row r="2" spans="3:19" x14ac:dyDescent="0.35">
      <c r="C2" t="s">
        <v>67</v>
      </c>
    </row>
    <row r="3" spans="3:19" x14ac:dyDescent="0.35">
      <c r="D3" t="s">
        <v>51</v>
      </c>
      <c r="E3" t="s">
        <v>52</v>
      </c>
      <c r="F3" t="s">
        <v>53</v>
      </c>
      <c r="G3" t="s">
        <v>54</v>
      </c>
      <c r="H3" t="s">
        <v>65</v>
      </c>
      <c r="K3" t="s">
        <v>47</v>
      </c>
      <c r="L3" t="s">
        <v>55</v>
      </c>
      <c r="M3" t="s">
        <v>81</v>
      </c>
      <c r="P3" t="s">
        <v>51</v>
      </c>
      <c r="Q3" t="s">
        <v>52</v>
      </c>
      <c r="R3" t="s">
        <v>53</v>
      </c>
      <c r="S3" t="s">
        <v>54</v>
      </c>
    </row>
    <row r="4" spans="3:19" x14ac:dyDescent="0.35">
      <c r="C4" t="s">
        <v>47</v>
      </c>
      <c r="D4" t="s">
        <v>56</v>
      </c>
      <c r="E4" t="s">
        <v>58</v>
      </c>
      <c r="F4" t="s">
        <v>60</v>
      </c>
      <c r="G4" t="s">
        <v>62</v>
      </c>
      <c r="H4" t="s">
        <v>64</v>
      </c>
      <c r="J4" t="s">
        <v>51</v>
      </c>
      <c r="K4">
        <v>2.2999999999999998</v>
      </c>
      <c r="L4">
        <v>379.5</v>
      </c>
      <c r="M4">
        <f>L4/K4</f>
        <v>165</v>
      </c>
      <c r="O4" t="s">
        <v>47</v>
      </c>
      <c r="P4">
        <v>2.2999999999999998</v>
      </c>
      <c r="Q4">
        <v>3.8</v>
      </c>
      <c r="R4">
        <v>0</v>
      </c>
      <c r="S4">
        <v>17.100000000000001</v>
      </c>
    </row>
    <row r="5" spans="3:19" x14ac:dyDescent="0.35">
      <c r="C5" t="s">
        <v>55</v>
      </c>
      <c r="D5" t="s">
        <v>57</v>
      </c>
      <c r="E5" t="s">
        <v>59</v>
      </c>
      <c r="F5" t="s">
        <v>61</v>
      </c>
      <c r="G5" t="s">
        <v>63</v>
      </c>
      <c r="H5" t="s">
        <v>66</v>
      </c>
      <c r="J5" t="s">
        <v>52</v>
      </c>
      <c r="K5">
        <v>3.8</v>
      </c>
      <c r="L5">
        <v>21.9</v>
      </c>
      <c r="M5">
        <f>L5/K5</f>
        <v>5.7631578947368416</v>
      </c>
      <c r="O5" t="s">
        <v>55</v>
      </c>
      <c r="P5">
        <v>379.5</v>
      </c>
      <c r="Q5">
        <v>21.9</v>
      </c>
      <c r="R5">
        <v>335.4</v>
      </c>
      <c r="S5">
        <v>406.8</v>
      </c>
    </row>
    <row r="6" spans="3:19" x14ac:dyDescent="0.35">
      <c r="J6" t="s">
        <v>53</v>
      </c>
      <c r="K6">
        <v>0</v>
      </c>
      <c r="L6">
        <v>335.4</v>
      </c>
    </row>
    <row r="7" spans="3:19" x14ac:dyDescent="0.35">
      <c r="C7" t="s">
        <v>73</v>
      </c>
      <c r="D7" t="s">
        <v>74</v>
      </c>
      <c r="E7" t="s">
        <v>75</v>
      </c>
      <c r="J7" t="s">
        <v>54</v>
      </c>
      <c r="K7">
        <v>17.100000000000001</v>
      </c>
      <c r="L7">
        <v>406.8</v>
      </c>
      <c r="M7">
        <f>L7/K7</f>
        <v>23.789473684210524</v>
      </c>
    </row>
    <row r="8" spans="3:19" x14ac:dyDescent="0.35">
      <c r="C8" t="s">
        <v>72</v>
      </c>
      <c r="D8" t="s">
        <v>71</v>
      </c>
      <c r="E8" t="s">
        <v>70</v>
      </c>
      <c r="F8" t="s">
        <v>69</v>
      </c>
      <c r="G8" t="s">
        <v>68</v>
      </c>
      <c r="K8">
        <f>K5/K4*100</f>
        <v>165.21739130434781</v>
      </c>
      <c r="L8">
        <f>L5/L4*100</f>
        <v>5.770750988142292</v>
      </c>
    </row>
    <row r="9" spans="3:19" x14ac:dyDescent="0.35">
      <c r="C9" t="s">
        <v>47</v>
      </c>
      <c r="D9">
        <v>1.6110956043956001E-3</v>
      </c>
      <c r="E9">
        <v>2.4430462805463899E-3</v>
      </c>
      <c r="F9">
        <v>0</v>
      </c>
      <c r="G9">
        <v>1.427729E-2</v>
      </c>
    </row>
    <row r="10" spans="3:19" x14ac:dyDescent="0.35">
      <c r="C10" t="s">
        <v>55</v>
      </c>
      <c r="D10">
        <v>0.39144880999999998</v>
      </c>
      <c r="E10">
        <v>1.09637969027541E-2</v>
      </c>
      <c r="F10">
        <v>0.37241479</v>
      </c>
      <c r="G10">
        <v>0.41088038999999998</v>
      </c>
    </row>
    <row r="12" spans="3:19" x14ac:dyDescent="0.35">
      <c r="C12" t="s">
        <v>76</v>
      </c>
      <c r="D12" t="s">
        <v>74</v>
      </c>
      <c r="E12" t="s">
        <v>77</v>
      </c>
      <c r="J12" t="s">
        <v>82</v>
      </c>
      <c r="K12" t="s">
        <v>83</v>
      </c>
      <c r="L12" t="s">
        <v>48</v>
      </c>
      <c r="M12" t="s">
        <v>79</v>
      </c>
    </row>
    <row r="13" spans="3:19" x14ac:dyDescent="0.35">
      <c r="C13" t="s">
        <v>72</v>
      </c>
      <c r="D13" t="s">
        <v>71</v>
      </c>
      <c r="E13" t="s">
        <v>70</v>
      </c>
      <c r="F13" t="s">
        <v>69</v>
      </c>
      <c r="G13" t="s">
        <v>68</v>
      </c>
      <c r="J13">
        <v>3</v>
      </c>
      <c r="K13">
        <v>1.6110956043956001E-3</v>
      </c>
      <c r="L13">
        <v>0.39144880999999998</v>
      </c>
      <c r="M13">
        <f>L13/K13</f>
        <v>242.9705654537189</v>
      </c>
    </row>
    <row r="14" spans="3:19" x14ac:dyDescent="0.35">
      <c r="C14" t="s">
        <v>47</v>
      </c>
      <c r="D14">
        <v>9.0342017073170703E-4</v>
      </c>
      <c r="E14">
        <v>2.1290205483561601E-3</v>
      </c>
      <c r="F14">
        <v>0</v>
      </c>
      <c r="G14">
        <v>1.4508202E-2</v>
      </c>
      <c r="J14">
        <v>10</v>
      </c>
      <c r="K14">
        <v>9.0342017073170703E-4</v>
      </c>
      <c r="L14">
        <v>0.376108092</v>
      </c>
      <c r="M14">
        <f>L14/K14</f>
        <v>416.3158009803775</v>
      </c>
    </row>
    <row r="15" spans="3:19" x14ac:dyDescent="0.35">
      <c r="C15" t="s">
        <v>55</v>
      </c>
      <c r="D15">
        <v>0.376108092</v>
      </c>
      <c r="E15">
        <v>1.8039679934635899E-2</v>
      </c>
      <c r="F15">
        <v>0.33785210199999999</v>
      </c>
      <c r="G15">
        <v>0.40569770199999999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FFD4-B28F-488D-AB7C-E5324DCA80D8}">
  <dimension ref="A1:J75"/>
  <sheetViews>
    <sheetView topLeftCell="B70" zoomScale="85" zoomScaleNormal="85" workbookViewId="0">
      <selection activeCell="E45" sqref="E45"/>
    </sheetView>
  </sheetViews>
  <sheetFormatPr defaultRowHeight="14.5" x14ac:dyDescent="0.35"/>
  <cols>
    <col min="1" max="1" width="27.36328125" bestFit="1" customWidth="1"/>
    <col min="2" max="2" width="13.6328125" bestFit="1" customWidth="1"/>
    <col min="3" max="3" width="13.6328125" customWidth="1"/>
    <col min="4" max="4" width="15.36328125" bestFit="1" customWidth="1"/>
    <col min="5" max="5" width="13.36328125" bestFit="1" customWidth="1"/>
    <col min="6" max="6" width="14" bestFit="1" customWidth="1"/>
    <col min="7" max="7" width="15.36328125" bestFit="1" customWidth="1"/>
    <col min="8" max="8" width="33.54296875" bestFit="1" customWidth="1"/>
    <col min="10" max="10" width="33.54296875" bestFit="1" customWidth="1"/>
  </cols>
  <sheetData>
    <row r="1" spans="1:10" x14ac:dyDescent="0.35">
      <c r="A1" s="1" t="s">
        <v>0</v>
      </c>
      <c r="B1" s="1" t="s">
        <v>1</v>
      </c>
      <c r="C1" s="1"/>
      <c r="D1" s="1" t="s">
        <v>78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79</v>
      </c>
      <c r="J1" s="1" t="s">
        <v>80</v>
      </c>
    </row>
    <row r="2" spans="1:10" x14ac:dyDescent="0.35">
      <c r="A2" s="3" t="s">
        <v>6</v>
      </c>
      <c r="B2" s="4">
        <v>453.64</v>
      </c>
      <c r="C2" s="4"/>
      <c r="D2" s="4">
        <f t="shared" ref="D2:D15" si="0">B2/1000</f>
        <v>0.45363999999999999</v>
      </c>
      <c r="E2" s="4">
        <v>39.299999999999997</v>
      </c>
      <c r="F2" s="4"/>
      <c r="G2" s="4"/>
      <c r="H2" s="3" t="s">
        <v>7</v>
      </c>
      <c r="I2" s="5">
        <f>F2/D2</f>
        <v>0</v>
      </c>
      <c r="J2">
        <f>F2-D2</f>
        <v>-0.45363999999999999</v>
      </c>
    </row>
    <row r="3" spans="1:10" x14ac:dyDescent="0.35">
      <c r="A3" s="2" t="s">
        <v>8</v>
      </c>
      <c r="B3" s="1">
        <v>805.79</v>
      </c>
      <c r="C3" s="1"/>
      <c r="D3" s="1">
        <f t="shared" si="0"/>
        <v>0.80579000000000001</v>
      </c>
      <c r="E3" s="1">
        <v>69.900000000000006</v>
      </c>
      <c r="F3" s="1">
        <v>0.30880000000000002</v>
      </c>
      <c r="G3" s="1">
        <v>62.8</v>
      </c>
      <c r="H3" s="2" t="s">
        <v>9</v>
      </c>
      <c r="I3">
        <f>F3/D3</f>
        <v>0.38322639893768851</v>
      </c>
      <c r="J3">
        <f t="shared" ref="J3:J15" si="1">F3-D3</f>
        <v>-0.49698999999999999</v>
      </c>
    </row>
    <row r="4" spans="1:10" x14ac:dyDescent="0.35">
      <c r="A4" s="3" t="s">
        <v>10</v>
      </c>
      <c r="B4" s="4">
        <v>837.45</v>
      </c>
      <c r="C4" s="4"/>
      <c r="D4" s="4">
        <f t="shared" si="0"/>
        <v>0.83745000000000003</v>
      </c>
      <c r="E4" s="4">
        <v>72.599999999999994</v>
      </c>
      <c r="F4" s="4"/>
      <c r="G4" s="4"/>
      <c r="H4" s="3" t="s">
        <v>11</v>
      </c>
      <c r="I4" s="5">
        <f t="shared" ref="I4:I15" si="2">F4/D4</f>
        <v>0</v>
      </c>
      <c r="J4">
        <f t="shared" si="1"/>
        <v>-0.83745000000000003</v>
      </c>
    </row>
    <row r="5" spans="1:10" x14ac:dyDescent="0.35">
      <c r="A5" s="2" t="s">
        <v>12</v>
      </c>
      <c r="B5" s="1">
        <v>855.67</v>
      </c>
      <c r="C5" s="1"/>
      <c r="D5" s="1">
        <f t="shared" si="0"/>
        <v>0.85566999999999993</v>
      </c>
      <c r="E5" s="1">
        <v>74.2</v>
      </c>
      <c r="F5" s="1">
        <v>1.5100000000000001E-2</v>
      </c>
      <c r="G5" s="1">
        <v>3.1</v>
      </c>
      <c r="H5" s="2" t="s">
        <v>13</v>
      </c>
      <c r="I5">
        <f t="shared" si="2"/>
        <v>1.7646990077950613E-2</v>
      </c>
      <c r="J5">
        <f t="shared" si="1"/>
        <v>-0.84056999999999993</v>
      </c>
    </row>
    <row r="6" spans="1:10" x14ac:dyDescent="0.35">
      <c r="A6" s="2" t="s">
        <v>14</v>
      </c>
      <c r="B6" s="1">
        <v>874.09</v>
      </c>
      <c r="C6" s="1"/>
      <c r="D6" s="1">
        <f t="shared" si="0"/>
        <v>0.87409000000000003</v>
      </c>
      <c r="E6" s="1">
        <v>75.8</v>
      </c>
      <c r="F6" s="1">
        <v>2.63E-2</v>
      </c>
      <c r="G6" s="1">
        <v>5.3</v>
      </c>
      <c r="H6" s="2" t="s">
        <v>15</v>
      </c>
      <c r="I6">
        <f t="shared" si="2"/>
        <v>3.0088434829365397E-2</v>
      </c>
      <c r="J6">
        <f t="shared" si="1"/>
        <v>-0.84779000000000004</v>
      </c>
    </row>
    <row r="7" spans="1:10" x14ac:dyDescent="0.35">
      <c r="A7" s="2" t="s">
        <v>16</v>
      </c>
      <c r="B7" s="1">
        <v>894.89</v>
      </c>
      <c r="C7" s="1"/>
      <c r="D7" s="1">
        <f t="shared" si="0"/>
        <v>0.89488999999999996</v>
      </c>
      <c r="E7" s="1">
        <v>77.599999999999994</v>
      </c>
      <c r="F7" s="1">
        <v>6.4999999999999997E-3</v>
      </c>
      <c r="G7" s="1">
        <v>1.3</v>
      </c>
      <c r="H7" s="2" t="s">
        <v>17</v>
      </c>
      <c r="I7">
        <f t="shared" si="2"/>
        <v>7.2634625484696439E-3</v>
      </c>
      <c r="J7">
        <f t="shared" si="1"/>
        <v>-0.88839000000000001</v>
      </c>
    </row>
    <row r="8" spans="1:10" x14ac:dyDescent="0.35">
      <c r="A8" s="2" t="s">
        <v>18</v>
      </c>
      <c r="B8" s="1">
        <v>920.5</v>
      </c>
      <c r="C8" s="1"/>
      <c r="D8" s="1">
        <f t="shared" si="0"/>
        <v>0.92049999999999998</v>
      </c>
      <c r="E8" s="1">
        <v>79.8</v>
      </c>
      <c r="F8" s="1">
        <v>3.0999999999999999E-3</v>
      </c>
      <c r="G8" s="1">
        <v>0.6</v>
      </c>
      <c r="H8" s="2" t="s">
        <v>18</v>
      </c>
      <c r="I8">
        <f t="shared" si="2"/>
        <v>3.3677349266702876E-3</v>
      </c>
      <c r="J8">
        <f t="shared" si="1"/>
        <v>-0.91739999999999999</v>
      </c>
    </row>
    <row r="9" spans="1:10" x14ac:dyDescent="0.35">
      <c r="A9" s="2" t="s">
        <v>19</v>
      </c>
      <c r="B9" s="1">
        <v>945.47</v>
      </c>
      <c r="C9" s="1"/>
      <c r="D9" s="1">
        <f t="shared" si="0"/>
        <v>0.94547000000000003</v>
      </c>
      <c r="E9" s="1">
        <v>81.900000000000006</v>
      </c>
      <c r="F9" s="1">
        <v>1.5E-3</v>
      </c>
      <c r="G9" s="1">
        <v>0.3</v>
      </c>
      <c r="H9" s="2" t="s">
        <v>20</v>
      </c>
      <c r="I9">
        <f t="shared" si="2"/>
        <v>1.5865125281605973E-3</v>
      </c>
      <c r="J9">
        <f t="shared" si="1"/>
        <v>-0.94397000000000009</v>
      </c>
    </row>
    <row r="10" spans="1:10" x14ac:dyDescent="0.35">
      <c r="A10" s="2" t="s">
        <v>21</v>
      </c>
      <c r="B10" s="1">
        <v>986.16</v>
      </c>
      <c r="C10" s="1"/>
      <c r="D10" s="1">
        <f t="shared" si="0"/>
        <v>0.98615999999999993</v>
      </c>
      <c r="E10" s="1">
        <v>85.5</v>
      </c>
      <c r="F10" s="1">
        <v>8.8999999999999999E-3</v>
      </c>
      <c r="G10" s="1">
        <v>1.8</v>
      </c>
      <c r="H10" s="2" t="s">
        <v>22</v>
      </c>
      <c r="I10">
        <f t="shared" si="2"/>
        <v>9.024904680782023E-3</v>
      </c>
      <c r="J10">
        <f t="shared" si="1"/>
        <v>-0.97725999999999991</v>
      </c>
    </row>
    <row r="11" spans="1:10" x14ac:dyDescent="0.35">
      <c r="A11" s="2" t="s">
        <v>23</v>
      </c>
      <c r="B11" s="1">
        <v>1034.26</v>
      </c>
      <c r="C11" s="1"/>
      <c r="D11" s="1">
        <f t="shared" si="0"/>
        <v>1.03426</v>
      </c>
      <c r="E11" s="1">
        <v>89.7</v>
      </c>
      <c r="F11" s="1">
        <v>2.5000000000000001E-2</v>
      </c>
      <c r="G11" s="1">
        <v>5.0999999999999996</v>
      </c>
      <c r="H11" s="2" t="s">
        <v>24</v>
      </c>
      <c r="I11">
        <f t="shared" si="2"/>
        <v>2.4171871676367647E-2</v>
      </c>
      <c r="J11">
        <f t="shared" si="1"/>
        <v>-1.00926</v>
      </c>
    </row>
    <row r="12" spans="1:10" x14ac:dyDescent="0.35">
      <c r="A12" s="2" t="s">
        <v>25</v>
      </c>
      <c r="B12" s="1">
        <v>1052.73</v>
      </c>
      <c r="C12" s="1"/>
      <c r="D12" s="1">
        <f t="shared" si="0"/>
        <v>1.0527299999999999</v>
      </c>
      <c r="E12" s="1">
        <v>91.3</v>
      </c>
      <c r="F12" s="1">
        <v>2.5000000000000001E-2</v>
      </c>
      <c r="G12" s="1">
        <v>5.0999999999999996</v>
      </c>
      <c r="H12" s="2" t="s">
        <v>26</v>
      </c>
      <c r="I12">
        <f t="shared" si="2"/>
        <v>2.3747779582609027E-2</v>
      </c>
      <c r="J12">
        <f t="shared" si="1"/>
        <v>-1.02773</v>
      </c>
    </row>
    <row r="13" spans="1:10" x14ac:dyDescent="0.35">
      <c r="A13" s="3" t="s">
        <v>27</v>
      </c>
      <c r="B13" s="4"/>
      <c r="C13" s="4"/>
      <c r="D13" s="4">
        <f t="shared" si="0"/>
        <v>0</v>
      </c>
      <c r="E13" s="4"/>
      <c r="F13" s="4">
        <v>1.37E-2</v>
      </c>
      <c r="G13" s="4">
        <v>2.8</v>
      </c>
      <c r="H13" s="3" t="s">
        <v>28</v>
      </c>
      <c r="I13" s="5"/>
      <c r="J13">
        <f t="shared" si="1"/>
        <v>1.37E-2</v>
      </c>
    </row>
    <row r="14" spans="1:10" x14ac:dyDescent="0.35">
      <c r="A14" s="2" t="s">
        <v>29</v>
      </c>
      <c r="B14" s="1">
        <v>1107.32</v>
      </c>
      <c r="C14" s="1"/>
      <c r="D14" s="1">
        <f t="shared" si="0"/>
        <v>1.1073199999999999</v>
      </c>
      <c r="E14" s="1">
        <v>96</v>
      </c>
      <c r="F14" s="1">
        <v>8.6E-3</v>
      </c>
      <c r="G14" s="1">
        <v>1.7</v>
      </c>
      <c r="H14" s="2" t="s">
        <v>30</v>
      </c>
      <c r="I14">
        <f t="shared" si="2"/>
        <v>7.7664992955965764E-3</v>
      </c>
      <c r="J14">
        <f t="shared" si="1"/>
        <v>-1.0987199999999999</v>
      </c>
    </row>
    <row r="15" spans="1:10" x14ac:dyDescent="0.35">
      <c r="A15" s="2" t="s">
        <v>31</v>
      </c>
      <c r="B15" s="1">
        <v>1153.24</v>
      </c>
      <c r="C15" s="1"/>
      <c r="D15" s="1">
        <f t="shared" si="0"/>
        <v>1.15324</v>
      </c>
      <c r="E15" s="1">
        <v>100</v>
      </c>
      <c r="F15" s="1">
        <v>1.6000000000000001E-3</v>
      </c>
      <c r="G15" s="1">
        <v>0.3</v>
      </c>
      <c r="H15" s="2" t="s">
        <v>32</v>
      </c>
      <c r="I15">
        <f t="shared" si="2"/>
        <v>1.3873955117755193E-3</v>
      </c>
      <c r="J15">
        <f t="shared" si="1"/>
        <v>-1.15164</v>
      </c>
    </row>
    <row r="18" spans="1:10" x14ac:dyDescent="0.35">
      <c r="A18" s="1" t="s">
        <v>0</v>
      </c>
      <c r="B18" s="1" t="s">
        <v>1</v>
      </c>
      <c r="C18" s="1" t="s">
        <v>78</v>
      </c>
      <c r="E18" s="1" t="s">
        <v>2</v>
      </c>
      <c r="F18" s="1" t="s">
        <v>3</v>
      </c>
      <c r="G18" s="1" t="s">
        <v>4</v>
      </c>
      <c r="H18" s="1" t="s">
        <v>5</v>
      </c>
      <c r="I18" s="2" t="s">
        <v>79</v>
      </c>
      <c r="J18" s="1" t="s">
        <v>80</v>
      </c>
    </row>
    <row r="19" spans="1:10" x14ac:dyDescent="0.35">
      <c r="A19" s="2" t="s">
        <v>8</v>
      </c>
      <c r="B19" s="1">
        <v>805.79</v>
      </c>
      <c r="C19" s="1">
        <f t="shared" ref="C19:C29" si="3">B19/1000</f>
        <v>0.80579000000000001</v>
      </c>
      <c r="E19" s="1">
        <v>69.900000000000006</v>
      </c>
      <c r="F19" s="1">
        <v>0.30880000000000002</v>
      </c>
      <c r="G19" s="1">
        <v>62.8</v>
      </c>
      <c r="H19" s="2" t="s">
        <v>9</v>
      </c>
      <c r="J19">
        <f t="shared" ref="J19:J29" si="4">F19-C19</f>
        <v>-0.49698999999999999</v>
      </c>
    </row>
    <row r="20" spans="1:10" x14ac:dyDescent="0.35">
      <c r="A20" s="2" t="s">
        <v>12</v>
      </c>
      <c r="B20" s="1">
        <v>855.67</v>
      </c>
      <c r="C20" s="1">
        <f t="shared" si="3"/>
        <v>0.85566999999999993</v>
      </c>
      <c r="D20">
        <f>C20-C19</f>
        <v>4.9879999999999924E-2</v>
      </c>
      <c r="E20" s="1">
        <v>74.2</v>
      </c>
      <c r="F20" s="1">
        <v>1.5100000000000001E-2</v>
      </c>
      <c r="G20" s="1">
        <v>3.1</v>
      </c>
      <c r="H20" s="2" t="s">
        <v>13</v>
      </c>
      <c r="I20">
        <f>F20/D20</f>
        <v>0.30272654370489221</v>
      </c>
      <c r="J20">
        <f t="shared" si="4"/>
        <v>-0.84056999999999993</v>
      </c>
    </row>
    <row r="21" spans="1:10" x14ac:dyDescent="0.35">
      <c r="A21" s="2" t="s">
        <v>14</v>
      </c>
      <c r="B21" s="1">
        <v>874.09</v>
      </c>
      <c r="C21" s="1">
        <f t="shared" si="3"/>
        <v>0.87409000000000003</v>
      </c>
      <c r="D21">
        <f t="shared" ref="D21:D29" si="5">C21-C20</f>
        <v>1.8420000000000103E-2</v>
      </c>
      <c r="E21" s="1">
        <v>75.8</v>
      </c>
      <c r="F21" s="1">
        <v>2.63E-2</v>
      </c>
      <c r="G21" s="1">
        <v>5.3</v>
      </c>
      <c r="H21" s="2" t="s">
        <v>15</v>
      </c>
      <c r="I21">
        <f t="shared" ref="I21:I29" si="6">F21/D21</f>
        <v>1.4277958740499377</v>
      </c>
      <c r="J21">
        <f t="shared" si="4"/>
        <v>-0.84779000000000004</v>
      </c>
    </row>
    <row r="22" spans="1:10" x14ac:dyDescent="0.35">
      <c r="A22" s="2" t="s">
        <v>16</v>
      </c>
      <c r="B22" s="1">
        <v>894.89</v>
      </c>
      <c r="C22" s="1">
        <f t="shared" si="3"/>
        <v>0.89488999999999996</v>
      </c>
      <c r="D22">
        <f t="shared" si="5"/>
        <v>2.079999999999993E-2</v>
      </c>
      <c r="E22" s="1">
        <v>77.599999999999994</v>
      </c>
      <c r="F22" s="1">
        <v>6.4999999999999997E-3</v>
      </c>
      <c r="G22" s="1">
        <v>1.3</v>
      </c>
      <c r="H22" s="2" t="s">
        <v>17</v>
      </c>
      <c r="I22">
        <f t="shared" si="6"/>
        <v>0.31250000000000105</v>
      </c>
      <c r="J22">
        <f t="shared" si="4"/>
        <v>-0.88839000000000001</v>
      </c>
    </row>
    <row r="23" spans="1:10" x14ac:dyDescent="0.35">
      <c r="A23" s="2" t="s">
        <v>18</v>
      </c>
      <c r="B23" s="1">
        <v>920.5</v>
      </c>
      <c r="C23" s="1">
        <f t="shared" si="3"/>
        <v>0.92049999999999998</v>
      </c>
      <c r="D23">
        <f t="shared" si="5"/>
        <v>2.5610000000000022E-2</v>
      </c>
      <c r="E23" s="1">
        <v>79.8</v>
      </c>
      <c r="F23" s="1">
        <v>3.0999999999999999E-3</v>
      </c>
      <c r="G23" s="1">
        <v>0.6</v>
      </c>
      <c r="H23" s="2" t="s">
        <v>18</v>
      </c>
      <c r="I23">
        <f t="shared" si="6"/>
        <v>0.12104646622413109</v>
      </c>
      <c r="J23">
        <f t="shared" si="4"/>
        <v>-0.91739999999999999</v>
      </c>
    </row>
    <row r="24" spans="1:10" x14ac:dyDescent="0.35">
      <c r="A24" s="2" t="s">
        <v>19</v>
      </c>
      <c r="B24" s="1">
        <v>945.47</v>
      </c>
      <c r="C24" s="1">
        <f t="shared" si="3"/>
        <v>0.94547000000000003</v>
      </c>
      <c r="D24">
        <f t="shared" si="5"/>
        <v>2.4970000000000048E-2</v>
      </c>
      <c r="E24" s="1">
        <v>81.900000000000006</v>
      </c>
      <c r="F24" s="1">
        <v>1.5E-3</v>
      </c>
      <c r="G24" s="1">
        <v>0.3</v>
      </c>
      <c r="H24" s="2" t="s">
        <v>20</v>
      </c>
      <c r="I24">
        <f t="shared" si="6"/>
        <v>6.0072086503804453E-2</v>
      </c>
      <c r="J24">
        <f t="shared" si="4"/>
        <v>-0.94397000000000009</v>
      </c>
    </row>
    <row r="25" spans="1:10" x14ac:dyDescent="0.35">
      <c r="A25" s="2" t="s">
        <v>21</v>
      </c>
      <c r="B25" s="1">
        <v>986.16</v>
      </c>
      <c r="C25" s="1">
        <f t="shared" si="3"/>
        <v>0.98615999999999993</v>
      </c>
      <c r="D25">
        <f t="shared" si="5"/>
        <v>4.0689999999999893E-2</v>
      </c>
      <c r="E25" s="1">
        <v>85.5</v>
      </c>
      <c r="F25" s="1">
        <v>8.8999999999999999E-3</v>
      </c>
      <c r="G25" s="1">
        <v>1.8</v>
      </c>
      <c r="H25" s="2" t="s">
        <v>22</v>
      </c>
      <c r="I25">
        <f t="shared" si="6"/>
        <v>0.21872695994101801</v>
      </c>
      <c r="J25">
        <f t="shared" si="4"/>
        <v>-0.97725999999999991</v>
      </c>
    </row>
    <row r="26" spans="1:10" x14ac:dyDescent="0.35">
      <c r="A26" s="2" t="s">
        <v>23</v>
      </c>
      <c r="B26" s="1">
        <v>1034.26</v>
      </c>
      <c r="C26" s="1">
        <f t="shared" si="3"/>
        <v>1.03426</v>
      </c>
      <c r="D26">
        <f t="shared" si="5"/>
        <v>4.8100000000000032E-2</v>
      </c>
      <c r="E26" s="1">
        <v>89.7</v>
      </c>
      <c r="F26" s="1">
        <v>2.5000000000000001E-2</v>
      </c>
      <c r="G26" s="1">
        <v>5.0999999999999996</v>
      </c>
      <c r="H26" s="2" t="s">
        <v>24</v>
      </c>
      <c r="I26">
        <f t="shared" si="6"/>
        <v>0.51975051975051945</v>
      </c>
      <c r="J26">
        <f t="shared" si="4"/>
        <v>-1.00926</v>
      </c>
    </row>
    <row r="27" spans="1:10" x14ac:dyDescent="0.35">
      <c r="A27" s="2" t="s">
        <v>25</v>
      </c>
      <c r="B27" s="1">
        <v>1052.73</v>
      </c>
      <c r="C27" s="1">
        <f t="shared" si="3"/>
        <v>1.0527299999999999</v>
      </c>
      <c r="D27">
        <f t="shared" si="5"/>
        <v>1.8469999999999986E-2</v>
      </c>
      <c r="E27" s="1">
        <v>91.3</v>
      </c>
      <c r="F27" s="1">
        <v>2.5000000000000001E-2</v>
      </c>
      <c r="G27" s="1">
        <v>5.0999999999999996</v>
      </c>
      <c r="H27" s="2" t="s">
        <v>26</v>
      </c>
      <c r="I27">
        <f t="shared" si="6"/>
        <v>1.3535462912831631</v>
      </c>
      <c r="J27">
        <f t="shared" si="4"/>
        <v>-1.02773</v>
      </c>
    </row>
    <row r="28" spans="1:10" x14ac:dyDescent="0.35">
      <c r="A28" s="2" t="s">
        <v>29</v>
      </c>
      <c r="B28" s="1">
        <v>1107.32</v>
      </c>
      <c r="C28" s="1">
        <f t="shared" si="3"/>
        <v>1.1073199999999999</v>
      </c>
      <c r="D28">
        <f t="shared" si="5"/>
        <v>5.4589999999999916E-2</v>
      </c>
      <c r="E28" s="1">
        <v>96</v>
      </c>
      <c r="F28" s="1">
        <v>8.6E-3</v>
      </c>
      <c r="G28" s="1">
        <v>1.7</v>
      </c>
      <c r="H28" s="2" t="s">
        <v>30</v>
      </c>
      <c r="I28">
        <f t="shared" si="6"/>
        <v>0.15753801062465678</v>
      </c>
      <c r="J28">
        <f t="shared" si="4"/>
        <v>-1.0987199999999999</v>
      </c>
    </row>
    <row r="29" spans="1:10" x14ac:dyDescent="0.35">
      <c r="A29" s="2" t="s">
        <v>31</v>
      </c>
      <c r="B29" s="1">
        <v>1153.24</v>
      </c>
      <c r="C29" s="1">
        <f t="shared" si="3"/>
        <v>1.15324</v>
      </c>
      <c r="D29">
        <f t="shared" si="5"/>
        <v>4.5920000000000183E-2</v>
      </c>
      <c r="E29" s="1">
        <v>100</v>
      </c>
      <c r="F29" s="1">
        <v>1.6000000000000001E-3</v>
      </c>
      <c r="G29" s="1">
        <v>0.3</v>
      </c>
      <c r="H29" s="2" t="s">
        <v>32</v>
      </c>
      <c r="I29">
        <f t="shared" si="6"/>
        <v>3.4843205574912751E-2</v>
      </c>
      <c r="J29">
        <f t="shared" si="4"/>
        <v>-1.15164</v>
      </c>
    </row>
    <row r="32" spans="1:10" x14ac:dyDescent="0.35">
      <c r="A32" s="1" t="s">
        <v>0</v>
      </c>
      <c r="B32" t="s">
        <v>78</v>
      </c>
      <c r="D32" t="s">
        <v>3</v>
      </c>
      <c r="E32" t="s">
        <v>79</v>
      </c>
    </row>
    <row r="33" spans="1:5" x14ac:dyDescent="0.35">
      <c r="A33" s="2" t="s">
        <v>8</v>
      </c>
      <c r="B33">
        <v>0.80579000000000001</v>
      </c>
      <c r="D33">
        <v>0.30880000000000002</v>
      </c>
    </row>
    <row r="34" spans="1:5" x14ac:dyDescent="0.35">
      <c r="A34" s="2" t="s">
        <v>12</v>
      </c>
      <c r="B34">
        <v>4.9879999999999924E-2</v>
      </c>
      <c r="D34">
        <v>1.5100000000000001E-2</v>
      </c>
      <c r="E34">
        <f>D34/B34</f>
        <v>0.30272654370489221</v>
      </c>
    </row>
    <row r="35" spans="1:5" x14ac:dyDescent="0.35">
      <c r="A35" s="2" t="s">
        <v>14</v>
      </c>
      <c r="B35">
        <v>1.8420000000000103E-2</v>
      </c>
      <c r="D35">
        <v>2.63E-2</v>
      </c>
      <c r="E35">
        <f t="shared" ref="E35:E43" si="7">D35/B35</f>
        <v>1.4277958740499377</v>
      </c>
    </row>
    <row r="36" spans="1:5" x14ac:dyDescent="0.35">
      <c r="A36" s="2" t="s">
        <v>16</v>
      </c>
      <c r="B36">
        <v>2.079999999999993E-2</v>
      </c>
      <c r="D36">
        <v>6.4999999999999997E-3</v>
      </c>
      <c r="E36">
        <f t="shared" si="7"/>
        <v>0.31250000000000105</v>
      </c>
    </row>
    <row r="37" spans="1:5" x14ac:dyDescent="0.35">
      <c r="A37" s="2" t="s">
        <v>18</v>
      </c>
      <c r="B37">
        <v>2.5610000000000022E-2</v>
      </c>
      <c r="D37">
        <v>3.0999999999999999E-3</v>
      </c>
      <c r="E37">
        <f t="shared" si="7"/>
        <v>0.12104646622413109</v>
      </c>
    </row>
    <row r="38" spans="1:5" x14ac:dyDescent="0.35">
      <c r="A38" s="2" t="s">
        <v>19</v>
      </c>
      <c r="B38">
        <v>2.4970000000000048E-2</v>
      </c>
      <c r="D38">
        <v>1.5E-3</v>
      </c>
      <c r="E38">
        <f t="shared" si="7"/>
        <v>6.0072086503804453E-2</v>
      </c>
    </row>
    <row r="39" spans="1:5" x14ac:dyDescent="0.35">
      <c r="A39" s="2" t="s">
        <v>21</v>
      </c>
      <c r="B39">
        <v>4.0689999999999893E-2</v>
      </c>
      <c r="D39">
        <v>8.8999999999999999E-3</v>
      </c>
      <c r="E39">
        <f t="shared" si="7"/>
        <v>0.21872695994101801</v>
      </c>
    </row>
    <row r="40" spans="1:5" x14ac:dyDescent="0.35">
      <c r="A40" s="2" t="s">
        <v>23</v>
      </c>
      <c r="B40">
        <v>4.8100000000000032E-2</v>
      </c>
      <c r="D40">
        <v>2.5000000000000001E-2</v>
      </c>
      <c r="E40">
        <f t="shared" si="7"/>
        <v>0.51975051975051945</v>
      </c>
    </row>
    <row r="41" spans="1:5" x14ac:dyDescent="0.35">
      <c r="A41" s="2" t="s">
        <v>25</v>
      </c>
      <c r="B41">
        <v>1.8469999999999986E-2</v>
      </c>
      <c r="D41">
        <v>2.5000000000000001E-2</v>
      </c>
      <c r="E41">
        <f t="shared" si="7"/>
        <v>1.3535462912831631</v>
      </c>
    </row>
    <row r="42" spans="1:5" x14ac:dyDescent="0.35">
      <c r="A42" s="2" t="s">
        <v>29</v>
      </c>
      <c r="B42">
        <v>5.4589999999999916E-2</v>
      </c>
      <c r="D42">
        <v>8.6E-3</v>
      </c>
      <c r="E42">
        <f t="shared" si="7"/>
        <v>0.15753801062465678</v>
      </c>
    </row>
    <row r="43" spans="1:5" x14ac:dyDescent="0.35">
      <c r="A43" s="2" t="s">
        <v>31</v>
      </c>
      <c r="B43">
        <v>4.5920000000000183E-2</v>
      </c>
      <c r="D43">
        <v>1.6000000000000001E-3</v>
      </c>
      <c r="E43">
        <f t="shared" si="7"/>
        <v>3.4843205574912751E-2</v>
      </c>
    </row>
    <row r="46" spans="1:5" x14ac:dyDescent="0.35">
      <c r="A46" s="1" t="s">
        <v>0</v>
      </c>
      <c r="B46" t="s">
        <v>79</v>
      </c>
    </row>
    <row r="47" spans="1:5" x14ac:dyDescent="0.35">
      <c r="A47" s="2" t="s">
        <v>8</v>
      </c>
    </row>
    <row r="48" spans="1:5" x14ac:dyDescent="0.35">
      <c r="A48" s="2" t="s">
        <v>12</v>
      </c>
      <c r="B48" s="1">
        <v>0.30272654370489221</v>
      </c>
      <c r="C48" s="1"/>
      <c r="D48" s="1"/>
    </row>
    <row r="49" spans="1:4" x14ac:dyDescent="0.35">
      <c r="A49" s="2" t="s">
        <v>14</v>
      </c>
      <c r="B49" s="1">
        <v>1.4277958740499377</v>
      </c>
      <c r="C49" s="1"/>
      <c r="D49" s="1"/>
    </row>
    <row r="50" spans="1:4" x14ac:dyDescent="0.35">
      <c r="A50" s="2" t="s">
        <v>16</v>
      </c>
      <c r="B50" s="1">
        <v>0.31250000000000105</v>
      </c>
      <c r="C50" s="1"/>
      <c r="D50" s="1"/>
    </row>
    <row r="51" spans="1:4" x14ac:dyDescent="0.35">
      <c r="A51" s="2" t="s">
        <v>18</v>
      </c>
      <c r="B51" s="1">
        <v>0.12104646622413109</v>
      </c>
      <c r="C51" s="1"/>
      <c r="D51" s="1"/>
    </row>
    <row r="52" spans="1:4" x14ac:dyDescent="0.35">
      <c r="A52" s="2" t="s">
        <v>19</v>
      </c>
      <c r="B52" s="1">
        <v>6.0072086503804453E-2</v>
      </c>
      <c r="C52" s="1"/>
      <c r="D52" s="1"/>
    </row>
    <row r="53" spans="1:4" x14ac:dyDescent="0.35">
      <c r="A53" s="2" t="s">
        <v>21</v>
      </c>
      <c r="B53" s="1">
        <v>0.21872695994101801</v>
      </c>
      <c r="C53" s="1"/>
      <c r="D53" s="1"/>
    </row>
    <row r="54" spans="1:4" x14ac:dyDescent="0.35">
      <c r="A54" s="2" t="s">
        <v>23</v>
      </c>
      <c r="B54" s="1">
        <v>0.51975051975051945</v>
      </c>
      <c r="C54" s="1"/>
      <c r="D54" s="1"/>
    </row>
    <row r="55" spans="1:4" x14ac:dyDescent="0.35">
      <c r="A55" s="2" t="s">
        <v>25</v>
      </c>
      <c r="B55" s="1">
        <v>1.3535462912831631</v>
      </c>
      <c r="C55" s="1"/>
      <c r="D55" s="1"/>
    </row>
    <row r="56" spans="1:4" x14ac:dyDescent="0.35">
      <c r="A56" s="2" t="s">
        <v>29</v>
      </c>
      <c r="B56" s="1">
        <v>0.15753801062465678</v>
      </c>
      <c r="C56" s="1"/>
      <c r="D56" s="1"/>
    </row>
    <row r="57" spans="1:4" x14ac:dyDescent="0.35">
      <c r="A57" s="2" t="s">
        <v>31</v>
      </c>
      <c r="B57" s="1">
        <v>3.4843205574912751E-2</v>
      </c>
      <c r="C57" s="1"/>
      <c r="D57" s="1"/>
    </row>
    <row r="58" spans="1:4" x14ac:dyDescent="0.35">
      <c r="A58" s="2"/>
      <c r="B58" s="1"/>
      <c r="C58" s="1"/>
      <c r="D58" s="1"/>
    </row>
    <row r="59" spans="1:4" x14ac:dyDescent="0.35">
      <c r="A59" s="2"/>
      <c r="B59" s="1"/>
      <c r="C59" s="1"/>
      <c r="D59" s="1"/>
    </row>
    <row r="64" spans="1:4" x14ac:dyDescent="0.35">
      <c r="A64" s="1" t="s">
        <v>0</v>
      </c>
      <c r="B64" t="s">
        <v>79</v>
      </c>
    </row>
    <row r="65" spans="1:2" x14ac:dyDescent="0.35">
      <c r="A65" s="2" t="s">
        <v>8</v>
      </c>
      <c r="B65">
        <v>0.38322639893768851</v>
      </c>
    </row>
    <row r="66" spans="1:2" x14ac:dyDescent="0.35">
      <c r="A66" s="2" t="s">
        <v>12</v>
      </c>
      <c r="B66">
        <v>1.7646990077950613E-2</v>
      </c>
    </row>
    <row r="67" spans="1:2" x14ac:dyDescent="0.35">
      <c r="A67" s="2" t="s">
        <v>14</v>
      </c>
      <c r="B67">
        <v>3.0088434829365397E-2</v>
      </c>
    </row>
    <row r="68" spans="1:2" x14ac:dyDescent="0.35">
      <c r="A68" s="2" t="s">
        <v>16</v>
      </c>
      <c r="B68">
        <v>7.2634625484696439E-3</v>
      </c>
    </row>
    <row r="69" spans="1:2" x14ac:dyDescent="0.35">
      <c r="A69" s="2" t="s">
        <v>18</v>
      </c>
      <c r="B69">
        <v>3.3677349266702876E-3</v>
      </c>
    </row>
    <row r="70" spans="1:2" x14ac:dyDescent="0.35">
      <c r="A70" s="2" t="s">
        <v>19</v>
      </c>
      <c r="B70">
        <v>1.5865125281605973E-3</v>
      </c>
    </row>
    <row r="71" spans="1:2" x14ac:dyDescent="0.35">
      <c r="A71" s="2" t="s">
        <v>21</v>
      </c>
      <c r="B71">
        <v>9.024904680782023E-3</v>
      </c>
    </row>
    <row r="72" spans="1:2" x14ac:dyDescent="0.35">
      <c r="A72" s="2" t="s">
        <v>23</v>
      </c>
      <c r="B72">
        <v>2.4171871676367647E-2</v>
      </c>
    </row>
    <row r="73" spans="1:2" x14ac:dyDescent="0.35">
      <c r="A73" s="2" t="s">
        <v>25</v>
      </c>
      <c r="B73">
        <v>2.3747779582609027E-2</v>
      </c>
    </row>
    <row r="74" spans="1:2" x14ac:dyDescent="0.35">
      <c r="A74" s="2" t="s">
        <v>29</v>
      </c>
      <c r="B74">
        <v>7.7664992955965764E-3</v>
      </c>
    </row>
    <row r="75" spans="1:2" x14ac:dyDescent="0.35">
      <c r="A75" s="2" t="s">
        <v>31</v>
      </c>
      <c r="B75">
        <v>1.3873955117755193E-3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</vt:lpstr>
      <vt:lpstr>Memory</vt:lpstr>
      <vt:lpstr>Hyperfine Benchmark</vt:lpstr>
      <vt:lpstr>Time 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Phanindra Sai Manepalli (Pranav Phanindra Manepalli)</dc:creator>
  <cp:lastModifiedBy>Pranav Phanindra Sai Manepalli (Pranav Phanindra Manep</cp:lastModifiedBy>
  <dcterms:created xsi:type="dcterms:W3CDTF">2025-10-16T09:39:50Z</dcterms:created>
  <dcterms:modified xsi:type="dcterms:W3CDTF">2025-11-18T11:46:47Z</dcterms:modified>
</cp:coreProperties>
</file>